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b8aae0e7e54e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98cbc42e2214b4a"/>
    <x:sheet xmlns:r="http://schemas.openxmlformats.org/officeDocument/2006/relationships" name="Tracker" sheetId="2" r:id="R3767bc38f097417a"/>
    <x:sheet xmlns:r="http://schemas.openxmlformats.org/officeDocument/2006/relationships" name="Setari" sheetId="3" r:id="R462849c3b3dc4e67"/>
    <x:sheet xmlns:r="http://schemas.openxmlformats.org/officeDocument/2006/relationships" name="Surse" sheetId="4" r:id="R59f9393faf9348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"/>
    <x:numFmt numFmtId="202" formatCode="0"/>
    <x:numFmt numFmtId="203" formatCode="0%"/>
  </x:numFmts>
  <x:fonts count="6">
    <x:font>
      <x:sz val="11"/>
      <x:name val="Carlito"/>
    </x:font>
    <x:font>
      <x:b/>
      <x:sz val="15"/>
      <x:color rgb="FF1F4E78"/>
      <x:name val="Arial"/>
    </x:font>
    <x:font>
      <x:b/>
      <x:sz val="10"/>
      <x:color rgb="FFFFFFFF"/>
      <x:name val="Arial"/>
    </x:font>
    <x:font>
      <x:b/>
      <x:sz val="10"/>
      <x:color rgb="FF1F4E78"/>
      <x:name val="Arial"/>
    </x:font>
    <x:font>
      <x:b/>
      <x:sz val="10"/>
      <x:color rgb="FF1F2933"/>
      <x:name val="Arial"/>
    </x:font>
    <x:font>
      <x:sz val="10"/>
      <x:color rgb="FF1F293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2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7C9D6"/>
      </x:left>
      <x:right style="thin">
        <x:color rgb="FFFFFFFF"/>
      </x:right>
      <x:top style="thin">
        <x:color rgb="FFB7C9D6"/>
      </x:top>
      <x:bottom style="thin">
        <x:color rgb="FFFFFFFF"/>
      </x:bottom>
    </x:border>
    <x:border>
      <x:left style="thin">
        <x:color rgb="FFFFFFFF"/>
      </x:left>
      <x:right style="thin">
        <x:color rgb="FFB7C9D6"/>
      </x:right>
      <x:top style="thin">
        <x:color rgb="FFB7C9D6"/>
      </x:top>
      <x:bottom style="thin">
        <x:color rgb="FFFFFFFF"/>
      </x:bottom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E6EEF3"/>
      </x:bottom>
    </x:border>
    <x:border>
      <x:left style="thin">
        <x:color rgb="FFFFFFFF"/>
      </x:left>
      <x:top style="thin">
        <x:color rgb="FFE6EEF3"/>
      </x:top>
      <x:bottom style="thin">
        <x:color rgb="FFE6EEF3"/>
      </x:bottom>
    </x:border>
    <x:border>
      <x:top style="thin">
        <x:color rgb="FFE6EEF3"/>
      </x:top>
      <x:bottom style="thin">
        <x:color rgb="FFE6EEF3"/>
      </x:bottom>
    </x:border>
    <x:border>
      <x:right style="thin">
        <x:color rgb="FFFFFFFF"/>
      </x:right>
      <x:top style="thin">
        <x:color rgb="FFE6EEF3"/>
      </x:top>
      <x:bottom style="thin">
        <x:color rgb="FFE6EEF3"/>
      </x:bottom>
    </x:border>
    <x:border>
      <x:left style="thin">
        <x:color rgb="FFFFFFFF"/>
      </x:left>
      <x:top style="thin">
        <x:color rgb="FFE6EEF3"/>
      </x:top>
      <x:bottom style="thin">
        <x:color rgb="FFB7C9D6"/>
      </x:bottom>
    </x:border>
    <x:border>
      <x:top style="thin">
        <x:color rgb="FFE6EEF3"/>
      </x:top>
      <x:bottom style="thin">
        <x:color rgb="FFB7C9D6"/>
      </x:bottom>
    </x:border>
    <x:border>
      <x:right style="thin">
        <x:color rgb="FFFFFFFF"/>
      </x:right>
      <x:top style="thin">
        <x:color rgb="FFE6EEF3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FFFFFF"/>
      </x:left>
      <x:right style="thin">
        <x:color rgb="FFFFFFFF"/>
      </x:right>
      <x:top style="thin">
        <x:color rgb="FFB7C9D6"/>
      </x:top>
      <x:bottom style="thin">
        <x:color rgb="FFFFFFFF"/>
      </x:bottom>
    </x:border>
    <x:border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51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201" fontId="0" fillId="3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200" fontId="0" fillId="0" borderId="5" xfId="0" applyNumberFormat="1" applyFont="1" applyFill="1" applyBorder="1" applyAlignment="1">
      <x:alignment horizontal="right"/>
    </x:xf>
    <x:xf numFmtId="201" fontId="0" fillId="3" borderId="5" xfId="0" applyNumberFormat="1" applyFont="1" applyFill="1" applyBorder="1" applyAlignment="1">
      <x:alignment horizontal="right"/>
    </x:xf>
    <x:xf numFmtId="201" fontId="0" fillId="0" borderId="5" xfId="0" applyNumberFormat="1" applyFont="1" applyFill="1" applyBorder="1" applyAlignment="1">
      <x:alignment horizontal="right"/>
    </x:xf>
    <x:xf numFmtId="202" fontId="0" fillId="0" borderId="5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/>
    <x:xf numFmtId="201" fontId="0" fillId="0" borderId="7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5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3" borderId="10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  <x:xf numFmtId="201" fontId="0" fillId="5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3" borderId="13" xfId="0" applyNumberFormat="1" applyFont="1" applyFill="1" applyBorder="1" applyAlignment="1">
      <x:alignment vertical="center"/>
    </x:xf>
    <x:xf numFmtId="201" fontId="0" fillId="0" borderId="13" xfId="0" applyNumberFormat="1" applyFont="1" applyFill="1" applyBorder="1" applyAlignment="1">
      <x:alignment vertical="center"/>
    </x:xf>
    <x:xf numFmtId="201" fontId="0" fillId="5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5" xfId="0" applyNumberFormat="1" applyFont="1" applyFill="1" applyBorder="1"/>
    <x:xf numFmtId="0" fontId="0" fillId="0" borderId="7" xfId="0" applyNumberFormat="1" applyFont="1" applyFill="1" applyBorder="1"/>
    <x:xf numFmtId="0" fontId="0" fillId="5" borderId="16" xfId="0" applyNumberFormat="1" applyFont="1" applyFill="1" applyBorder="1"/>
    <x:xf numFmtId="0" fontId="0" fillId="5" borderId="5" xfId="0" applyNumberFormat="1" applyFont="1" applyFill="1" applyBorder="1"/>
    <x:xf numFmtId="0" fontId="0" fillId="5" borderId="7" xfId="0" applyNumberFormat="1" applyFont="1" applyFill="1" applyBorder="1"/>
    <x:xf numFmtId="203" fontId="0" fillId="5" borderId="5" xfId="0" applyNumberFormat="1" applyFont="1" applyFill="1" applyBorder="1"/>
    <x:xf numFmtId="201" fontId="0" fillId="5" borderId="5" xfId="0" applyNumberFormat="1" applyFont="1" applyFill="1" applyBorder="1"/>
    <x:xf numFmtId="201" fontId="0" fillId="5" borderId="7" xfId="0" applyNumberFormat="1" applyFont="1" applyFill="1" applyBorder="1"/>
    <x:xf numFmtId="0" fontId="2" fillId="2" borderId="1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8" xfId="0" applyNumberFormat="1" applyFont="1" applyFill="1" applyBorder="1"/>
    <x:xf numFmtId="201" fontId="0" fillId="0" borderId="5" xfId="0" applyNumberFormat="1" applyFont="1" applyFill="1" applyBorder="1"/>
    <x:xf numFmtId="201" fontId="0" fillId="0" borderId="18" xfId="0" applyNumberFormat="1" applyFont="1" applyFill="1" applyBorder="1"/>
    <x:xf numFmtId="201" fontId="0" fillId="0" borderId="7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9" xfId="0" applyNumberFormat="1" applyFont="1" applyFill="1" applyBorder="1"/>
    <x:xf numFmtId="0" fontId="3" fillId="6" borderId="20" xfId="0" applyNumberFormat="1" applyFont="1" applyFill="1" applyBorder="1"/>
    <x:xf numFmtId="0" fontId="3" fillId="6" borderId="2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4" borderId="0" xfId="0" applyNumberFormat="1" applyFont="1" applyFill="1" applyBorder="1"/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17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5" xfId="0" applyNumberFormat="1" applyFont="1" applyFill="1" applyBorder="1"/>
    <x:xf numFmtId="0" fontId="5" fillId="5" borderId="16" xfId="0" applyNumberFormat="1" applyFont="1" applyFill="1" applyBorder="1"/>
    <x:xf numFmtId="0" fontId="5" fillId="0" borderId="4" xfId="0" applyNumberFormat="1" applyFont="1" applyFill="1" applyBorder="1"/>
    <x:xf numFmtId="201" fontId="5" fillId="0" borderId="0" xfId="0" applyNumberFormat="1" applyFont="1" applyFill="1" applyBorder="1"/>
    <x:xf numFmtId="201" fontId="5" fillId="0" borderId="5" xfId="0" applyNumberFormat="1" applyFont="1" applyFill="1" applyBorder="1"/>
    <x:xf numFmtId="0" fontId="5" fillId="5" borderId="5" xfId="0" applyNumberFormat="1" applyFont="1" applyFill="1" applyBorder="1"/>
    <x:xf numFmtId="203" fontId="5" fillId="5" borderId="5" xfId="0" applyNumberFormat="1" applyFont="1" applyFill="1" applyBorder="1"/>
    <x:xf numFmtId="201" fontId="5" fillId="5" borderId="5" xfId="0" applyNumberFormat="1" applyFont="1" applyFill="1" applyBorder="1"/>
    <x:xf numFmtId="0" fontId="5" fillId="0" borderId="6" xfId="0" applyNumberFormat="1" applyFont="1" applyFill="1" applyBorder="1"/>
    <x:xf numFmtId="201" fontId="5" fillId="5" borderId="7" xfId="0" applyNumberFormat="1" applyFont="1" applyFill="1" applyBorder="1"/>
    <x:xf numFmtId="0" fontId="5" fillId="0" borderId="18" xfId="0" applyNumberFormat="1" applyFont="1" applyFill="1" applyBorder="1"/>
    <x:xf numFmtId="201" fontId="5" fillId="0" borderId="18" xfId="0" applyNumberFormat="1" applyFont="1" applyFill="1" applyBorder="1"/>
    <x:xf numFmtId="201" fontId="5" fillId="0" borderId="7" xfId="0" applyNumberFormat="1" applyFont="1" applyFill="1" applyBorder="1"/>
    <x:xf numFmtId="0" fontId="4" fillId="6" borderId="19" xfId="0" applyNumberFormat="1" applyFont="1" applyFill="1" applyBorder="1"/>
    <x:xf numFmtId="0" fontId="4" fillId="6" borderId="20" xfId="0" applyNumberFormat="1" applyFont="1" applyFill="1" applyBorder="1"/>
    <x:xf numFmtId="0" fontId="4" fillId="6" borderId="21" xfId="0" applyNumberFormat="1" applyFont="1" applyFill="1" applyBorder="1"/>
    <x:xf numFmtId="0" fontId="5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15" xfId="0" applyNumberFormat="1" applyFont="1" applyFill="1" applyBorder="1" applyAlignment="1">
      <x:alignment vertical="center"/>
    </x:xf>
    <x:xf numFmtId="0" fontId="5" fillId="5" borderId="16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203" fontId="5" fillId="5" borderId="5" xfId="0" applyNumberFormat="1" applyFont="1" applyFill="1" applyBorder="1" applyAlignment="1">
      <x:alignment vertical="center"/>
    </x:xf>
    <x:xf numFmtId="201" fontId="5" fillId="5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201" fontId="5" fillId="5" borderId="7" xfId="0" applyNumberFormat="1" applyFont="1" applyFill="1" applyBorder="1" applyAlignment="1">
      <x:alignment vertical="center"/>
    </x:xf>
    <x:xf numFmtId="0" fontId="5" fillId="0" borderId="18" xfId="0" applyNumberFormat="1" applyFont="1" applyFill="1" applyBorder="1" applyAlignment="1">
      <x:alignment vertical="center"/>
    </x:xf>
    <x:xf numFmtId="201" fontId="5" fillId="0" borderId="18" xfId="0" applyNumberFormat="1" applyFont="1" applyFill="1" applyBorder="1" applyAlignment="1">
      <x:alignment vertical="center"/>
    </x:xf>
    <x:xf numFmtId="201" fontId="5" fillId="0" borderId="7" xfId="0" applyNumberFormat="1" applyFont="1" applyFill="1" applyBorder="1" applyAlignment="1">
      <x:alignment vertical="center"/>
    </x:xf>
    <x:xf numFmtId="0" fontId="4" fillId="6" borderId="19" xfId="0" applyNumberFormat="1" applyFont="1" applyFill="1" applyBorder="1" applyAlignment="1">
      <x:alignment vertical="center"/>
    </x:xf>
    <x:xf numFmtId="0" fontId="4" fillId="6" borderId="20" xfId="0" applyNumberFormat="1" applyFont="1" applyFill="1" applyBorder="1" applyAlignment="1">
      <x:alignment vertical="center"/>
    </x:xf>
    <x:xf numFmtId="0" fontId="4" fillId="6" borderId="2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5" fillId="0" borderId="9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0" fontId="5" fillId="3" borderId="10" xfId="0" applyNumberFormat="1" applyFont="1" applyFill="1" applyBorder="1" applyAlignment="1">
      <x:alignment vertical="center"/>
    </x:xf>
    <x:xf numFmtId="201" fontId="5" fillId="0" borderId="10" xfId="0" applyNumberFormat="1" applyFont="1" applyFill="1" applyBorder="1" applyAlignment="1">
      <x:alignment vertical="center"/>
    </x:xf>
    <x:xf numFmtId="201" fontId="5" fillId="5" borderId="10" xfId="0" applyNumberFormat="1" applyFont="1" applyFill="1" applyBorder="1" applyAlignment="1">
      <x:alignment vertical="center"/>
    </x:xf>
    <x:xf numFmtId="0" fontId="5" fillId="0" borderId="11" xfId="0" applyNumberFormat="1" applyFont="1" applyFill="1" applyBorder="1" applyAlignment="1">
      <x:alignment vertical="center"/>
    </x:xf>
    <x:xf numFmtId="0" fontId="5" fillId="0" borderId="12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vertical="center"/>
    </x:xf>
    <x:xf numFmtId="0" fontId="5" fillId="3" borderId="13" xfId="0" applyNumberFormat="1" applyFont="1" applyFill="1" applyBorder="1" applyAlignment="1">
      <x:alignment vertical="center"/>
    </x:xf>
    <x:xf numFmtId="201" fontId="5" fillId="0" borderId="13" xfId="0" applyNumberFormat="1" applyFont="1" applyFill="1" applyBorder="1" applyAlignment="1">
      <x:alignment vertical="center"/>
    </x:xf>
    <x:xf numFmtId="201" fontId="5" fillId="5" borderId="13" xfId="0" applyNumberFormat="1" applyFont="1" applyFill="1" applyBorder="1" applyAlignment="1">
      <x:alignment vertical="center"/>
    </x:xf>
    <x:xf numFmtId="0" fontId="5" fillId="0" borderId="14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200" fontId="5" fillId="0" borderId="5" xfId="0" applyNumberFormat="1" applyFont="1" applyFill="1" applyBorder="1" applyAlignment="1">
      <x:alignment horizontal="right"/>
    </x:xf>
    <x:xf numFmtId="201" fontId="5" fillId="3" borderId="5" xfId="0" applyNumberFormat="1" applyFont="1" applyFill="1" applyBorder="1" applyAlignment="1">
      <x:alignment horizontal="right"/>
    </x:xf>
    <x:xf numFmtId="201" fontId="5" fillId="0" borderId="5" xfId="0" applyNumberFormat="1" applyFont="1" applyFill="1" applyBorder="1" applyAlignment="1">
      <x:alignment horizontal="right"/>
    </x:xf>
    <x:xf numFmtId="202" fontId="5" fillId="0" borderId="5" xfId="0" applyNumberFormat="1" applyFont="1" applyFill="1" applyBorder="1" applyAlignment="1">
      <x:alignment horizontal="right"/>
    </x:xf>
    <x:xf numFmtId="201" fontId="5" fillId="0" borderId="7" xfId="0" applyNumberFormat="1" applyFont="1" applyFill="1" applyBorder="1" applyAlignment="1">
      <x:alignment horizontal="right"/>
    </x:xf>
    <x:xf numFmtId="200" fontId="5" fillId="0" borderId="5" xfId="0" applyNumberFormat="1" applyFont="1" applyFill="1" applyBorder="1" applyAlignment="1">
      <x:alignment horizontal="right" vertical="center"/>
    </x:xf>
    <x:xf numFmtId="201" fontId="5" fillId="3" borderId="5" xfId="0" applyNumberFormat="1" applyFont="1" applyFill="1" applyBorder="1" applyAlignment="1">
      <x:alignment horizontal="right" vertical="center"/>
    </x:xf>
    <x:xf numFmtId="201" fontId="5" fillId="0" borderId="5" xfId="0" applyNumberFormat="1" applyFont="1" applyFill="1" applyBorder="1" applyAlignment="1">
      <x:alignment horizontal="right" vertical="center"/>
    </x:xf>
    <x:xf numFmtId="202" fontId="5" fillId="0" borderId="5" xfId="0" applyNumberFormat="1" applyFont="1" applyFill="1" applyBorder="1" applyAlignment="1">
      <x:alignment horizontal="right" vertical="center"/>
    </x:xf>
    <x:xf numFmtId="201" fontId="5" fillId="0" borderId="7" xfId="0" applyNumberFormat="1" applyFont="1" applyFill="1" applyBorder="1" applyAlignment="1">
      <x:alignment horizontal="right" vertical="center"/>
    </x:xf>
    <x:xf numFmtId="0" fontId="5" fillId="0" borderId="16" xfId="0" applyNumberFormat="1" applyFont="1" applyFill="1" applyBorder="1"/>
    <x:xf numFmtId="0" fontId="5" fillId="0" borderId="5" xfId="0" applyNumberFormat="1" applyFont="1" applyFill="1" applyBorder="1"/>
    <x:xf numFmtId="0" fontId="5" fillId="0" borderId="7" xfId="0" applyNumberFormat="1" applyFont="1" applyFill="1" applyBorder="1"/>
    <x:xf numFmtId="0" fontId="5" fillId="4" borderId="4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27632A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082b7bfa5a425f" /><Relationship Type="http://schemas.openxmlformats.org/officeDocument/2006/relationships/theme" Target="/xl/theme/theme1.xml" Id="R6767ec1725f8441b" /><Relationship Type="http://schemas.openxmlformats.org/officeDocument/2006/relationships/sharedStrings" Target="/xl/sharedStrings.xml" Id="Rddb7b6d02b654014" /><Relationship Type="http://schemas.openxmlformats.org/officeDocument/2006/relationships/worksheet" Target="/xl/worksheets/sheet1.xml" Id="Rf98cbc42e2214b4a" /><Relationship Type="http://schemas.openxmlformats.org/officeDocument/2006/relationships/worksheet" Target="/xl/worksheets/sheet2.xml" Id="R3767bc38f097417a" /><Relationship Type="http://schemas.openxmlformats.org/officeDocument/2006/relationships/worksheet" Target="/xl/worksheets/sheet3.xml" Id="R462849c3b3dc4e67" /><Relationship Type="http://schemas.openxmlformats.org/officeDocument/2006/relationships/worksheet" Target="/xl/worksheets/sheet4.xml" Id="R59f9393faf9348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2">
      <x:c r="A2" s="96" t="str">
        <x:v>Dashboard proiect — Recapitulare Matematică</x:v>
      </x:c>
      <x:c r="B2" s="96"/>
      <x:c r="C2" s="96"/>
      <x:c r="D2" s="96"/>
      <x:c r="E2" s="96"/>
      <x:c r="F2" s="96"/>
      <x:c r="G2" s="96"/>
      <x:c r="H2" s="96"/>
      <x:c r="I2" s="96"/>
      <x:c r="J2" s="96"/>
      <x:c r="K2" s="96"/>
      <x:c r="L2" s="96"/>
    </x:row>
    <x:row r="3">
      <x:c r="A3" s="97" t="str">
        <x:v>Situație la 1 octombrie 2026. Ajustează ipotezele pe Setari și statusurile pe Tracker.</x:v>
      </x:c>
      <x:c r="B3" s="97"/>
      <x:c r="C3" s="97"/>
      <x:c r="D3" s="97"/>
      <x:c r="E3" s="97"/>
      <x:c r="F3" s="97"/>
      <x:c r="G3" s="97"/>
      <x:c r="H3" s="97"/>
      <x:c r="I3" s="97"/>
      <x:c r="J3" s="97"/>
      <x:c r="K3" s="97"/>
      <x:c r="L3" s="97"/>
    </x:row>
    <x:row r="4">
      <x:c r="A4" s="98"/>
      <x:c r="B4" s="98"/>
      <x:c r="C4" s="98"/>
      <x:c r="D4" s="98"/>
      <x:c r="E4" s="98"/>
      <x:c r="F4" s="98"/>
      <x:c r="G4" s="98"/>
      <x:c r="H4" s="98"/>
      <x:c r="I4" s="98"/>
      <x:c r="J4" s="98"/>
      <x:c r="K4" s="98"/>
      <x:c r="L4" s="98"/>
    </x:row>
    <x:row r="5">
      <x:c r="A5" s="75" t="str">
        <x:v>Indicator</x:v>
      </x:c>
      <x:c r="B5" s="75" t="str">
        <x:v>Valoare</x:v>
      </x:c>
      <x:c r="C5" s="98"/>
      <x:c r="D5" s="76" t="str">
        <x:v>An</x:v>
      </x:c>
      <x:c r="E5" s="77" t="str">
        <x:v>Subiecte</x:v>
      </x:c>
      <x:c r="F5" s="77" t="str">
        <x:v>Gata</x:v>
      </x:c>
      <x:c r="G5" s="77" t="str">
        <x:v>Ore totale</x:v>
      </x:c>
      <x:c r="H5" s="78" t="str">
        <x:v>Ore rămase</x:v>
      </x:c>
      <x:c r="I5" s="98"/>
      <x:c r="J5" s="98"/>
      <x:c r="K5" s="98"/>
      <x:c r="L5" s="98"/>
    </x:row>
    <x:row r="6">
      <x:c r="A6" s="99" t="str">
        <x:v>Subiecte totale</x:v>
      </x:c>
      <x:c r="B6" s="100" t="n">
        <x:f>COUNTA(Tracker!$A$7:$A$242)</x:f>
        <x:v>236</x:v>
      </x:c>
      <x:c r="C6" s="98"/>
      <x:c r="D6" s="101" t="n">
        <x:v>2007</x:v>
      </x:c>
      <x:c r="E6" s="98" t="n">
        <x:f>COUNTIF(Tracker!$B$7:$B$242,D6)</x:f>
        <x:v>100</x:v>
      </x:c>
      <x:c r="F6" s="102" t="n">
        <x:f>COUNTIFS(Tracker!$B$7:$B$242,D6,Tracker!$E$7:$E$242,"Gata")</x:f>
        <x:v>0</x:v>
      </x:c>
      <x:c r="G6" s="102" t="n">
        <x:f>SUMIF(Tracker!$B$7:$B$242,D6,Tracker!$L$7:$L$242)</x:f>
        <x:v>79.99999999999984</x:v>
      </x:c>
      <x:c r="H6" s="103" t="n">
        <x:f>SUMIFS(Tracker!$L$7:$L$242,Tracker!$B$7:$B$242,D6,Tracker!$E$7:$E$242,"&lt;&gt;Gata")</x:f>
        <x:v>79.99999999999984</x:v>
      </x:c>
      <x:c r="I6" s="98"/>
      <x:c r="J6" s="98"/>
      <x:c r="K6" s="98"/>
      <x:c r="L6" s="98"/>
    </x:row>
    <x:row r="7">
      <x:c r="A7" s="101" t="str">
        <x:v>Gata</x:v>
      </x:c>
      <x:c r="B7" s="104" t="n">
        <x:f>COUNTIF(Tracker!$E$7:$E$242,"Gata")</x:f>
        <x:v>0</x:v>
      </x:c>
      <x:c r="C7" s="98"/>
      <x:c r="D7" s="101" t="n">
        <x:v>2010</x:v>
      </x:c>
      <x:c r="E7" s="98" t="n">
        <x:f>COUNTIF(Tracker!$B$7:$B$242,D7)</x:f>
        <x:v>3</x:v>
      </x:c>
      <x:c r="F7" s="102" t="n">
        <x:f>COUNTIFS(Tracker!$B$7:$B$242,D7,Tracker!$E$7:$E$242,"Gata")</x:f>
        <x:v>0</x:v>
      </x:c>
      <x:c r="G7" s="102" t="n">
        <x:f>SUMIF(Tracker!$B$7:$B$242,D7,Tracker!$L$7:$L$242)</x:f>
        <x:v>2.4000000000000004</x:v>
      </x:c>
      <x:c r="H7" s="103" t="n">
        <x:f>SUMIFS(Tracker!$L$7:$L$242,Tracker!$B$7:$B$242,D7,Tracker!$E$7:$E$242,"&lt;&gt;Gata")</x:f>
        <x:v>2.4000000000000004</x:v>
      </x:c>
      <x:c r="I7" s="98"/>
      <x:c r="J7" s="98"/>
      <x:c r="K7" s="98"/>
      <x:c r="L7" s="98"/>
    </x:row>
    <x:row r="8">
      <x:c r="A8" s="101" t="str">
        <x:v>Rămase</x:v>
      </x:c>
      <x:c r="B8" s="104" t="n">
        <x:f>B6-B7</x:f>
        <x:v>236</x:v>
      </x:c>
      <x:c r="C8" s="98"/>
      <x:c r="D8" s="101" t="n">
        <x:v>2011</x:v>
      </x:c>
      <x:c r="E8" s="98" t="n">
        <x:f>COUNTIF(Tracker!$B$7:$B$242,D8)</x:f>
        <x:v>3</x:v>
      </x:c>
      <x:c r="F8" s="102" t="n">
        <x:f>COUNTIFS(Tracker!$B$7:$B$242,D8,Tracker!$E$7:$E$242,"Gata")</x:f>
        <x:v>0</x:v>
      </x:c>
      <x:c r="G8" s="102" t="n">
        <x:f>SUMIF(Tracker!$B$7:$B$242,D8,Tracker!$L$7:$L$242)</x:f>
        <x:v>2.4000000000000004</x:v>
      </x:c>
      <x:c r="H8" s="103" t="n">
        <x:f>SUMIFS(Tracker!$L$7:$L$242,Tracker!$B$7:$B$242,D8,Tracker!$E$7:$E$242,"&lt;&gt;Gata")</x:f>
        <x:v>2.4000000000000004</x:v>
      </x:c>
      <x:c r="I8" s="98"/>
      <x:c r="J8" s="98"/>
      <x:c r="K8" s="98"/>
      <x:c r="L8" s="98"/>
    </x:row>
    <x:row r="9">
      <x:c r="A9" s="101" t="str">
        <x:v>Progres</x:v>
      </x:c>
      <x:c r="B9" s="105" t="n">
        <x:f>IF(B6=0,0,B7/B6)</x:f>
        <x:v>0</x:v>
      </x:c>
      <x:c r="C9" s="98"/>
      <x:c r="D9" s="101" t="n">
        <x:v>2012</x:v>
      </x:c>
      <x:c r="E9" s="98" t="n">
        <x:f>COUNTIF(Tracker!$B$7:$B$242,D9)</x:f>
        <x:v>4</x:v>
      </x:c>
      <x:c r="F9" s="102" t="n">
        <x:f>COUNTIFS(Tracker!$B$7:$B$242,D9,Tracker!$E$7:$E$242,"Gata")</x:f>
        <x:v>0</x:v>
      </x:c>
      <x:c r="G9" s="102" t="n">
        <x:f>SUMIF(Tracker!$B$7:$B$242,D9,Tracker!$L$7:$L$242)</x:f>
        <x:v>3.2</x:v>
      </x:c>
      <x:c r="H9" s="103" t="n">
        <x:f>SUMIFS(Tracker!$L$7:$L$242,Tracker!$B$7:$B$242,D9,Tracker!$E$7:$E$242,"&lt;&gt;Gata")</x:f>
        <x:v>3.2</x:v>
      </x:c>
      <x:c r="I9" s="98"/>
      <x:c r="J9" s="98"/>
      <x:c r="K9" s="98"/>
      <x:c r="L9" s="98"/>
    </x:row>
    <x:row r="10">
      <x:c r="A10" s="101" t="str">
        <x:v>Ore totale estimate</x:v>
      </x:c>
      <x:c r="B10" s="106" t="n">
        <x:f>SUM(Tracker!$L$7:$L$242)</x:f>
        <x:v>188.80000000000052</x:v>
      </x:c>
      <x:c r="C10" s="98"/>
      <x:c r="D10" s="101" t="n">
        <x:v>2013</x:v>
      </x:c>
      <x:c r="E10" s="98" t="n">
        <x:f>COUNTIF(Tracker!$B$7:$B$242,D10)</x:f>
        <x:v>4</x:v>
      </x:c>
      <x:c r="F10" s="102" t="n">
        <x:f>COUNTIFS(Tracker!$B$7:$B$242,D10,Tracker!$E$7:$E$242,"Gata")</x:f>
        <x:v>0</x:v>
      </x:c>
      <x:c r="G10" s="102" t="n">
        <x:f>SUMIF(Tracker!$B$7:$B$242,D10,Tracker!$L$7:$L$242)</x:f>
        <x:v>3.2</x:v>
      </x:c>
      <x:c r="H10" s="103" t="n">
        <x:f>SUMIFS(Tracker!$L$7:$L$242,Tracker!$B$7:$B$242,D10,Tracker!$E$7:$E$242,"&lt;&gt;Gata")</x:f>
        <x:v>3.2</x:v>
      </x:c>
      <x:c r="I10" s="98"/>
      <x:c r="J10" s="98"/>
      <x:c r="K10" s="98"/>
      <x:c r="L10" s="98"/>
    </x:row>
    <x:row r="11">
      <x:c r="A11" s="101" t="str">
        <x:v>Ore rămase</x:v>
      </x:c>
      <x:c r="B11" s="106" t="n">
        <x:f>SUMIF(Tracker!$E$7:$E$242,"&lt;&gt;Gata",Tracker!$L$7:$L$242)</x:f>
        <x:v>188.80000000000052</x:v>
      </x:c>
      <x:c r="C11" s="98"/>
      <x:c r="D11" s="101" t="n">
        <x:v>2014</x:v>
      </x:c>
      <x:c r="E11" s="98" t="n">
        <x:f>COUNTIF(Tracker!$B$7:$B$242,D11)</x:f>
        <x:v>5</x:v>
      </x:c>
      <x:c r="F11" s="102" t="n">
        <x:f>COUNTIFS(Tracker!$B$7:$B$242,D11,Tracker!$E$7:$E$242,"Gata")</x:f>
        <x:v>0</x:v>
      </x:c>
      <x:c r="G11" s="102" t="n">
        <x:f>SUMIF(Tracker!$B$7:$B$242,D11,Tracker!$L$7:$L$242)</x:f>
        <x:v>4</x:v>
      </x:c>
      <x:c r="H11" s="103" t="n">
        <x:f>SUMIFS(Tracker!$L$7:$L$242,Tracker!$B$7:$B$242,D11,Tracker!$E$7:$E$242,"&lt;&gt;Gata")</x:f>
        <x:v>4</x:v>
      </x:c>
      <x:c r="I11" s="98"/>
      <x:c r="J11" s="98"/>
      <x:c r="K11" s="98"/>
      <x:c r="L11" s="98"/>
    </x:row>
    <x:row r="12">
      <x:c r="A12" s="107" t="str">
        <x:v>Săptămâni rămase</x:v>
      </x:c>
      <x:c r="B12" s="108" t="n">
        <x:f>B11/Setari!$B$10</x:f>
        <x:v>9.440000000000026</x:v>
      </x:c>
      <x:c r="C12" s="98"/>
      <x:c r="D12" s="101" t="n">
        <x:v>2015</x:v>
      </x:c>
      <x:c r="E12" s="98" t="n">
        <x:f>COUNTIF(Tracker!$B$7:$B$242,D12)</x:f>
        <x:v>5</x:v>
      </x:c>
      <x:c r="F12" s="102" t="n">
        <x:f>COUNTIFS(Tracker!$B$7:$B$242,D12,Tracker!$E$7:$E$242,"Gata")</x:f>
        <x:v>0</x:v>
      </x:c>
      <x:c r="G12" s="102" t="n">
        <x:f>SUMIF(Tracker!$B$7:$B$242,D12,Tracker!$L$7:$L$242)</x:f>
        <x:v>4</x:v>
      </x:c>
      <x:c r="H12" s="103" t="n">
        <x:f>SUMIFS(Tracker!$L$7:$L$242,Tracker!$B$7:$B$242,D12,Tracker!$E$7:$E$242,"&lt;&gt;Gata")</x:f>
        <x:v>4</x:v>
      </x:c>
      <x:c r="I12" s="98"/>
      <x:c r="J12" s="98"/>
      <x:c r="K12" s="98"/>
      <x:c r="L12" s="98"/>
    </x:row>
    <x:row r="13">
      <x:c r="A13" s="98"/>
      <x:c r="B13" s="98"/>
      <x:c r="C13" s="98"/>
      <x:c r="D13" s="101" t="n">
        <x:v>2016</x:v>
      </x:c>
      <x:c r="E13" s="98" t="n">
        <x:f>COUNTIF(Tracker!$B$7:$B$242,D13)</x:f>
        <x:v>6</x:v>
      </x:c>
      <x:c r="F13" s="102" t="n">
        <x:f>COUNTIFS(Tracker!$B$7:$B$242,D13,Tracker!$E$7:$E$242,"Gata")</x:f>
        <x:v>0</x:v>
      </x:c>
      <x:c r="G13" s="102" t="n">
        <x:f>SUMIF(Tracker!$B$7:$B$242,D13,Tracker!$L$7:$L$242)</x:f>
        <x:v>4.8</x:v>
      </x:c>
      <x:c r="H13" s="103" t="n">
        <x:f>SUMIFS(Tracker!$L$7:$L$242,Tracker!$B$7:$B$242,D13,Tracker!$E$7:$E$242,"&lt;&gt;Gata")</x:f>
        <x:v>4.8</x:v>
      </x:c>
      <x:c r="I13" s="98"/>
      <x:c r="J13" s="98"/>
      <x:c r="K13" s="98"/>
      <x:c r="L13" s="98"/>
    </x:row>
    <x:row r="14">
      <x:c r="A14" s="98"/>
      <x:c r="B14" s="98"/>
      <x:c r="C14" s="98"/>
      <x:c r="D14" s="101" t="n">
        <x:v>2017</x:v>
      </x:c>
      <x:c r="E14" s="98" t="n">
        <x:f>COUNTIF(Tracker!$B$7:$B$242,D14)</x:f>
        <x:v>5</x:v>
      </x:c>
      <x:c r="F14" s="102" t="n">
        <x:f>COUNTIFS(Tracker!$B$7:$B$242,D14,Tracker!$E$7:$E$242,"Gata")</x:f>
        <x:v>0</x:v>
      </x:c>
      <x:c r="G14" s="102" t="n">
        <x:f>SUMIF(Tracker!$B$7:$B$242,D14,Tracker!$L$7:$L$242)</x:f>
        <x:v>4</x:v>
      </x:c>
      <x:c r="H14" s="103" t="n">
        <x:f>SUMIFS(Tracker!$L$7:$L$242,Tracker!$B$7:$B$242,D14,Tracker!$E$7:$E$242,"&lt;&gt;Gata")</x:f>
        <x:v>4</x:v>
      </x:c>
      <x:c r="I14" s="98"/>
      <x:c r="J14" s="98"/>
      <x:c r="K14" s="98"/>
      <x:c r="L14" s="98"/>
    </x:row>
    <x:row r="15">
      <x:c r="A15" s="98"/>
      <x:c r="B15" s="98"/>
      <x:c r="C15" s="98"/>
      <x:c r="D15" s="101" t="n">
        <x:v>2018</x:v>
      </x:c>
      <x:c r="E15" s="98" t="n">
        <x:f>COUNTIF(Tracker!$B$7:$B$242,D15)</x:f>
        <x:v>3</x:v>
      </x:c>
      <x:c r="F15" s="102" t="n">
        <x:f>COUNTIFS(Tracker!$B$7:$B$242,D15,Tracker!$E$7:$E$242,"Gata")</x:f>
        <x:v>0</x:v>
      </x:c>
      <x:c r="G15" s="102" t="n">
        <x:f>SUMIF(Tracker!$B$7:$B$242,D15,Tracker!$L$7:$L$242)</x:f>
        <x:v>2.4000000000000004</x:v>
      </x:c>
      <x:c r="H15" s="103" t="n">
        <x:f>SUMIFS(Tracker!$L$7:$L$242,Tracker!$B$7:$B$242,D15,Tracker!$E$7:$E$242,"&lt;&gt;Gata")</x:f>
        <x:v>2.4000000000000004</x:v>
      </x:c>
      <x:c r="I15" s="98"/>
      <x:c r="J15" s="98"/>
      <x:c r="K15" s="98"/>
      <x:c r="L15" s="98"/>
    </x:row>
    <x:row r="16">
      <x:c r="A16" s="98"/>
      <x:c r="B16" s="98"/>
      <x:c r="C16" s="98"/>
      <x:c r="D16" s="101" t="n">
        <x:v>2019</x:v>
      </x:c>
      <x:c r="E16" s="98" t="n">
        <x:f>COUNTIF(Tracker!$B$7:$B$242,D16)</x:f>
        <x:v>5</x:v>
      </x:c>
      <x:c r="F16" s="102" t="n">
        <x:f>COUNTIFS(Tracker!$B$7:$B$242,D16,Tracker!$E$7:$E$242,"Gata")</x:f>
        <x:v>0</x:v>
      </x:c>
      <x:c r="G16" s="102" t="n">
        <x:f>SUMIF(Tracker!$B$7:$B$242,D16,Tracker!$L$7:$L$242)</x:f>
        <x:v>4</x:v>
      </x:c>
      <x:c r="H16" s="103" t="n">
        <x:f>SUMIFS(Tracker!$L$7:$L$242,Tracker!$B$7:$B$242,D16,Tracker!$E$7:$E$242,"&lt;&gt;Gata")</x:f>
        <x:v>4</x:v>
      </x:c>
      <x:c r="I16" s="98"/>
      <x:c r="J16" s="98"/>
      <x:c r="K16" s="98"/>
      <x:c r="L16" s="98"/>
    </x:row>
    <x:row r="17">
      <x:c r="A17" s="98"/>
      <x:c r="B17" s="98"/>
      <x:c r="C17" s="98"/>
      <x:c r="D17" s="101" t="n">
        <x:v>2020</x:v>
      </x:c>
      <x:c r="E17" s="98" t="n">
        <x:f>COUNTIF(Tracker!$B$7:$B$242,D17)</x:f>
        <x:v>44</x:v>
      </x:c>
      <x:c r="F17" s="102" t="n">
        <x:f>COUNTIFS(Tracker!$B$7:$B$242,D17,Tracker!$E$7:$E$242,"Gata")</x:f>
        <x:v>0</x:v>
      </x:c>
      <x:c r="G17" s="102" t="n">
        <x:f>SUMIF(Tracker!$B$7:$B$242,D17,Tracker!$L$7:$L$242)</x:f>
        <x:v>35.2</x:v>
      </x:c>
      <x:c r="H17" s="103" t="n">
        <x:f>SUMIFS(Tracker!$L$7:$L$242,Tracker!$B$7:$B$242,D17,Tracker!$E$7:$E$242,"&lt;&gt;Gata")</x:f>
        <x:v>35.2</x:v>
      </x:c>
      <x:c r="I17" s="98"/>
      <x:c r="J17" s="98"/>
      <x:c r="K17" s="98"/>
      <x:c r="L17" s="98"/>
    </x:row>
    <x:row r="18">
      <x:c r="A18" s="98"/>
      <x:c r="B18" s="98"/>
      <x:c r="C18" s="98"/>
      <x:c r="D18" s="101" t="n">
        <x:v>2021</x:v>
      </x:c>
      <x:c r="E18" s="98" t="n">
        <x:f>COUNTIF(Tracker!$B$7:$B$242,D18)</x:f>
        <x:v>21</x:v>
      </x:c>
      <x:c r="F18" s="102" t="n">
        <x:f>COUNTIFS(Tracker!$B$7:$B$242,D18,Tracker!$E$7:$E$242,"Gata")</x:f>
        <x:v>0</x:v>
      </x:c>
      <x:c r="G18" s="102" t="n">
        <x:f>SUMIF(Tracker!$B$7:$B$242,D18,Tracker!$L$7:$L$242)</x:f>
        <x:v>16.800000000000004</x:v>
      </x:c>
      <x:c r="H18" s="103" t="n">
        <x:f>SUMIFS(Tracker!$L$7:$L$242,Tracker!$B$7:$B$242,D18,Tracker!$E$7:$E$242,"&lt;&gt;Gata")</x:f>
        <x:v>16.800000000000004</x:v>
      </x:c>
      <x:c r="I18" s="98"/>
      <x:c r="J18" s="98"/>
      <x:c r="K18" s="98"/>
      <x:c r="L18" s="98"/>
    </x:row>
    <x:row r="19">
      <x:c r="A19" s="98"/>
      <x:c r="B19" s="98"/>
      <x:c r="C19" s="98"/>
      <x:c r="D19" s="101" t="n">
        <x:v>2022</x:v>
      </x:c>
      <x:c r="E19" s="98" t="n">
        <x:f>COUNTIF(Tracker!$B$7:$B$242,D19)</x:f>
        <x:v>10</x:v>
      </x:c>
      <x:c r="F19" s="102" t="n">
        <x:f>COUNTIFS(Tracker!$B$7:$B$242,D19,Tracker!$E$7:$E$242,"Gata")</x:f>
        <x:v>0</x:v>
      </x:c>
      <x:c r="G19" s="102" t="n">
        <x:f>SUMIF(Tracker!$B$7:$B$242,D19,Tracker!$L$7:$L$242)</x:f>
        <x:v>7.999999999999999</x:v>
      </x:c>
      <x:c r="H19" s="103" t="n">
        <x:f>SUMIFS(Tracker!$L$7:$L$242,Tracker!$B$7:$B$242,D19,Tracker!$E$7:$E$242,"&lt;&gt;Gata")</x:f>
        <x:v>7.999999999999999</x:v>
      </x:c>
      <x:c r="I19" s="98"/>
      <x:c r="J19" s="98"/>
      <x:c r="K19" s="98"/>
      <x:c r="L19" s="98"/>
    </x:row>
    <x:row r="20">
      <x:c r="A20" s="98"/>
      <x:c r="B20" s="98"/>
      <x:c r="C20" s="98"/>
      <x:c r="D20" s="101" t="n">
        <x:v>2023</x:v>
      </x:c>
      <x:c r="E20" s="98" t="n">
        <x:f>COUNTIF(Tracker!$B$7:$B$242,D20)</x:f>
        <x:v>4</x:v>
      </x:c>
      <x:c r="F20" s="102" t="n">
        <x:f>COUNTIFS(Tracker!$B$7:$B$242,D20,Tracker!$E$7:$E$242,"Gata")</x:f>
        <x:v>0</x:v>
      </x:c>
      <x:c r="G20" s="102" t="n">
        <x:f>SUMIF(Tracker!$B$7:$B$242,D20,Tracker!$L$7:$L$242)</x:f>
        <x:v>3.2</x:v>
      </x:c>
      <x:c r="H20" s="103" t="n">
        <x:f>SUMIFS(Tracker!$L$7:$L$242,Tracker!$B$7:$B$242,D20,Tracker!$E$7:$E$242,"&lt;&gt;Gata")</x:f>
        <x:v>3.2</x:v>
      </x:c>
      <x:c r="I20" s="98"/>
      <x:c r="J20" s="98"/>
      <x:c r="K20" s="98"/>
      <x:c r="L20" s="98"/>
    </x:row>
    <x:row r="21">
      <x:c r="A21" s="98"/>
      <x:c r="B21" s="98"/>
      <x:c r="C21" s="98"/>
      <x:c r="D21" s="101" t="n">
        <x:v>2024</x:v>
      </x:c>
      <x:c r="E21" s="98" t="n">
        <x:f>COUNTIF(Tracker!$B$7:$B$242,D21)</x:f>
        <x:v>4</x:v>
      </x:c>
      <x:c r="F21" s="102" t="n">
        <x:f>COUNTIFS(Tracker!$B$7:$B$242,D21,Tracker!$E$7:$E$242,"Gata")</x:f>
        <x:v>0</x:v>
      </x:c>
      <x:c r="G21" s="102" t="n">
        <x:f>SUMIF(Tracker!$B$7:$B$242,D21,Tracker!$L$7:$L$242)</x:f>
        <x:v>3.2</x:v>
      </x:c>
      <x:c r="H21" s="103" t="n">
        <x:f>SUMIFS(Tracker!$L$7:$L$242,Tracker!$B$7:$B$242,D21,Tracker!$E$7:$E$242,"&lt;&gt;Gata")</x:f>
        <x:v>3.2</x:v>
      </x:c>
      <x:c r="I21" s="98"/>
      <x:c r="J21" s="98"/>
      <x:c r="K21" s="98"/>
      <x:c r="L21" s="98"/>
    </x:row>
    <x:row r="22">
      <x:c r="A22" s="98"/>
      <x:c r="B22" s="98"/>
      <x:c r="C22" s="98"/>
      <x:c r="D22" s="101" t="n">
        <x:v>2025</x:v>
      </x:c>
      <x:c r="E22" s="98" t="n">
        <x:f>COUNTIF(Tracker!$B$7:$B$242,D22)</x:f>
        <x:v>5</x:v>
      </x:c>
      <x:c r="F22" s="102" t="n">
        <x:f>COUNTIFS(Tracker!$B$7:$B$242,D22,Tracker!$E$7:$E$242,"Gata")</x:f>
        <x:v>0</x:v>
      </x:c>
      <x:c r="G22" s="102" t="n">
        <x:f>SUMIF(Tracker!$B$7:$B$242,D22,Tracker!$L$7:$L$242)</x:f>
        <x:v>4</x:v>
      </x:c>
      <x:c r="H22" s="103" t="n">
        <x:f>SUMIFS(Tracker!$L$7:$L$242,Tracker!$B$7:$B$242,D22,Tracker!$E$7:$E$242,"&lt;&gt;Gata")</x:f>
        <x:v>4</x:v>
      </x:c>
      <x:c r="I22" s="98"/>
      <x:c r="J22" s="98"/>
      <x:c r="K22" s="98"/>
      <x:c r="L22" s="98"/>
    </x:row>
    <x:row r="23">
      <x:c r="A23" s="98"/>
      <x:c r="B23" s="98"/>
      <x:c r="C23" s="98"/>
      <x:c r="D23" s="107" t="n">
        <x:v>2026</x:v>
      </x:c>
      <x:c r="E23" s="109" t="n">
        <x:f>COUNTIF(Tracker!$B$7:$B$242,D23)</x:f>
        <x:v>5</x:v>
      </x:c>
      <x:c r="F23" s="110" t="n">
        <x:f>COUNTIFS(Tracker!$B$7:$B$242,D23,Tracker!$E$7:$E$242,"Gata")</x:f>
        <x:v>0</x:v>
      </x:c>
      <x:c r="G23" s="110" t="n">
        <x:f>SUMIF(Tracker!$B$7:$B$242,D23,Tracker!$L$7:$L$242)</x:f>
        <x:v>4</x:v>
      </x:c>
      <x:c r="H23" s="111" t="n">
        <x:f>SUMIFS(Tracker!$L$7:$L$242,Tracker!$B$7:$B$242,D23,Tracker!$E$7:$E$242,"&lt;&gt;Gata")</x:f>
        <x:v>4</x:v>
      </x:c>
      <x:c r="I23" s="98"/>
      <x:c r="J23" s="98"/>
      <x:c r="K23" s="98"/>
      <x:c r="L23" s="98"/>
    </x:row>
    <x:row r="24">
      <x:c r="A24" s="98"/>
      <x:c r="B24" s="98"/>
      <x:c r="C24" s="98"/>
      <x:c r="D24" s="98"/>
      <x:c r="E24" s="98"/>
      <x:c r="F24" s="98"/>
      <x:c r="G24" s="98"/>
      <x:c r="H24" s="98"/>
      <x:c r="I24" s="98"/>
      <x:c r="J24" s="98"/>
      <x:c r="K24" s="98"/>
      <x:c r="L24" s="98"/>
    </x:row>
    <x:row r="25">
      <x:c r="A25" s="98"/>
      <x:c r="B25" s="98"/>
      <x:c r="C25" s="98"/>
      <x:c r="D25" s="98"/>
      <x:c r="E25" s="98"/>
      <x:c r="F25" s="98"/>
      <x:c r="G25" s="98"/>
      <x:c r="H25" s="98"/>
      <x:c r="I25" s="98"/>
      <x:c r="J25" s="98"/>
      <x:c r="K25" s="98"/>
      <x:c r="L25" s="98"/>
    </x:row>
    <x:row r="26">
      <x:c r="A26" s="112" t="str">
        <x:v>Observații de eficientizare</x:v>
      </x:c>
      <x:c r="B26" s="113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114"/>
    </x:row>
    <x:row r="27">
      <x:c r="A27" s="115" t="str">
        <x:v>• Lucrează în loturi: cele 100 de variante din 2007 pot fi filmate în sesiuni consecutive, cu aceeași structură de intro/outro.
• Păstrează baremele în folder pentru control, dar nu le transforma în clipuri: trackerul are 136 bareme logice separate.
• Folosește un șablon de editare și metadata; timpul de publicare și QA este cel mai ușor de redus prin proces repetabil.
• Începe cu prioritate ridicată și cu anii recenți; schimbă statusurile pe Tracker pentru o estimare live a orelor rămase.</x:v>
      </x:c>
      <x:c r="B27" s="115"/>
      <x:c r="C27" s="115"/>
      <x:c r="D27" s="115"/>
      <x:c r="E27" s="115"/>
      <x:c r="F27" s="115"/>
      <x:c r="G27" s="115"/>
      <x:c r="H27" s="115"/>
      <x:c r="I27" s="115"/>
      <x:c r="J27" s="115"/>
      <x:c r="K27" s="115"/>
      <x:c r="L27" s="115"/>
    </x:row>
    <x:row r="28">
      <x:c r="A28" s="115"/>
      <x:c r="B28" s="115"/>
      <x:c r="C28" s="115"/>
      <x:c r="D28" s="115"/>
      <x:c r="E28" s="115"/>
      <x:c r="F28" s="115"/>
      <x:c r="G28" s="115"/>
      <x:c r="H28" s="115"/>
      <x:c r="I28" s="115"/>
      <x:c r="J28" s="115"/>
      <x:c r="K28" s="115"/>
      <x:c r="L28" s="115"/>
    </x:row>
    <x:row r="29">
      <x:c r="A29" s="115"/>
      <x:c r="B29" s="115"/>
      <x:c r="C29" s="115"/>
      <x:c r="D29" s="115"/>
      <x:c r="E29" s="115"/>
      <x:c r="F29" s="115"/>
      <x:c r="G29" s="115"/>
      <x:c r="H29" s="115"/>
      <x:c r="I29" s="115"/>
      <x:c r="J29" s="115"/>
      <x:c r="K29" s="115"/>
      <x:c r="L29" s="115"/>
    </x:row>
    <x:row r="30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5"/>
      <x:c r="L30" s="115"/>
    </x:row>
    <x:row r="3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  <x:c r="K31" s="115"/>
      <x:c r="L31" s="115"/>
    </x:row>
  </x:sheetData>
  <x:mergeCells>
    <x:mergeCell ref="A2:L2"/>
    <x:mergeCell ref="A3:L3"/>
    <x:mergeCell ref="A26:L26"/>
    <x:mergeCell ref="A27:L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7" hidden="0" customWidth="1"/>
    <x:col min="2" max="2" width="8" hidden="0" customWidth="1"/>
    <x:col min="3" max="3" width="19" hidden="0" customWidth="1"/>
    <x:col min="4" max="4" width="44" hidden="0" customWidth="1"/>
    <x:col min="5" max="5" width="14" hidden="0" customWidth="1"/>
    <x:col min="6" max="6" width="12" hidden="0" customWidth="1"/>
    <x:col min="7" max="7" width="10" hidden="0" customWidth="1"/>
    <x:col min="8" max="8" width="10" hidden="0" customWidth="1"/>
    <x:col min="9" max="9" width="11" hidden="0" customWidth="1"/>
    <x:col min="10" max="10" width="9" hidden="0" customWidth="1"/>
    <x:col min="11" max="11" width="10" hidden="0" customWidth="1"/>
    <x:col min="12" max="12" width="10" hidden="0" customWidth="1"/>
    <x:col min="13" max="13" width="42" hidden="0" customWidth="1"/>
    <x:col min="14" max="14" width="42" hidden="0" customWidth="1"/>
    <x:col min="15" max="15" width="46" hidden="0" customWidth="1"/>
    <x:col min="16" max="16" width="28" hidden="0" customWidth="1"/>
  </x:cols>
  <x:sheetData>
    <x:row r="2">
      <x:c r="A2" s="96" t="str">
        <x:v>Tracker filmare subiecte — Recapitulare Matematică</x:v>
      </x:c>
      <x:c r="B2" s="96"/>
      <x:c r="C2" s="96"/>
      <x:c r="D2" s="96"/>
      <x:c r="E2" s="96"/>
      <x:c r="F2" s="96"/>
      <x:c r="G2" s="96"/>
      <x:c r="H2" s="96"/>
      <x:c r="I2" s="96"/>
      <x:c r="J2" s="96"/>
      <x:c r="K2" s="96"/>
      <x:c r="L2" s="96"/>
      <x:c r="M2" s="96"/>
      <x:c r="N2" s="96"/>
      <x:c r="O2" s="96"/>
      <x:c r="P2" s="96"/>
    </x:row>
    <x:row r="3">
      <x:c r="A3" s="130" t="str">
        <x:v>Baremele sunt inventariate pentru control, dar nu apar ca activități de filmare. MD și PDF sunt grupate ca un singur subiect logic.</x:v>
      </x:c>
      <x:c r="B3" s="130"/>
      <x:c r="C3" s="130"/>
      <x:c r="D3" s="130"/>
      <x:c r="E3" s="130"/>
      <x:c r="F3" s="130"/>
      <x:c r="G3" s="130"/>
      <x:c r="H3" s="130"/>
      <x:c r="I3" s="130"/>
      <x:c r="J3" s="130"/>
      <x:c r="K3" s="130"/>
      <x:c r="L3" s="130"/>
      <x:c r="M3" s="130"/>
      <x:c r="N3" s="130"/>
      <x:c r="O3" s="130"/>
      <x:c r="P3" s="130"/>
    </x:row>
    <x:row r="4">
      <x:c r="A4" s="98"/>
      <x:c r="B4" s="98"/>
      <x:c r="C4" s="98"/>
      <x:c r="D4" s="98"/>
      <x:c r="E4" s="98"/>
      <x:c r="F4" s="98"/>
      <x:c r="G4" s="98"/>
      <x:c r="H4" s="98"/>
      <x:c r="I4" s="98"/>
      <x:c r="J4" s="98"/>
      <x:c r="K4" s="98"/>
      <x:c r="L4" s="98"/>
      <x:c r="M4" s="98"/>
      <x:c r="N4" s="98"/>
      <x:c r="O4" s="98"/>
      <x:c r="P4" s="98"/>
    </x:row>
    <x:row r="5">
      <x:c r="A5" s="98"/>
      <x:c r="B5" s="98"/>
      <x:c r="C5" s="98"/>
      <x:c r="D5" s="98"/>
      <x:c r="E5" s="98"/>
      <x:c r="F5" s="98"/>
      <x:c r="G5" s="98"/>
      <x:c r="H5" s="98"/>
      <x:c r="I5" s="98"/>
      <x:c r="J5" s="98"/>
      <x:c r="K5" s="98"/>
      <x:c r="L5" s="98"/>
      <x:c r="M5" s="98"/>
      <x:c r="N5" s="98"/>
      <x:c r="O5" s="98"/>
      <x:c r="P5" s="98"/>
    </x:row>
    <x:row r="6">
      <x:c r="A6" s="117" t="str">
        <x:v>ID</x:v>
      </x:c>
      <x:c r="B6" s="117" t="str">
        <x:v>An</x:v>
      </x:c>
      <x:c r="C6" s="117" t="str">
        <x:v>Tip</x:v>
      </x:c>
      <x:c r="D6" s="117" t="str">
        <x:v>Subiect / variantă</x:v>
      </x:c>
      <x:c r="E6" s="117" t="str">
        <x:v>Status</x:v>
      </x:c>
      <x:c r="F6" s="117" t="str">
        <x:v>Prioritate</x:v>
      </x:c>
      <x:c r="G6" s="117" t="str">
        <x:v>Film. min</x:v>
      </x:c>
      <x:c r="H6" s="117" t="str">
        <x:v>Edit. min</x:v>
      </x:c>
      <x:c r="I6" s="117" t="str">
        <x:v>Public. min</x:v>
      </x:c>
      <x:c r="J6" s="117" t="str">
        <x:v>QA min</x:v>
      </x:c>
      <x:c r="K6" s="117" t="str">
        <x:v>Total min</x:v>
      </x:c>
      <x:c r="L6" s="117" t="str">
        <x:v>Total ore</x:v>
      </x:c>
      <x:c r="M6" s="117" t="str">
        <x:v>Sursă MD</x:v>
      </x:c>
      <x:c r="N6" s="117" t="str">
        <x:v>Sursă PDF</x:v>
      </x:c>
      <x:c r="O6" s="117" t="str">
        <x:v>Barem (nu se filmează)</x:v>
      </x:c>
      <x:c r="P6" s="117" t="str">
        <x:v>Observații</x:v>
      </x:c>
    </x:row>
    <x:row r="7">
      <x:c r="A7" s="118" t="n">
        <x:v>1</x:v>
      </x:c>
      <x:c r="B7" s="119" t="n">
        <x:v>2007</x:v>
      </x:c>
      <x:c r="C7" s="119" t="str">
        <x:v>Testare Națională</x:v>
      </x:c>
      <x:c r="D7" s="119" t="str">
        <x:v>Varianta 001</x:v>
      </x:c>
      <x:c r="E7" s="120" t="str">
        <x:v>Neînceput</x:v>
      </x:c>
      <x:c r="F7" s="120" t="str">
        <x:v>Normal</x:v>
      </x:c>
      <x:c r="G7" s="121" t="n">
        <x:f>IF($E7="Amânat",0,Setari!$B$6)</x:f>
        <x:v>20</x:v>
      </x:c>
      <x:c r="H7" s="121" t="n">
        <x:f>IF($E7="Amânat",0,Setari!$B$7)</x:f>
        <x:v>15</x:v>
      </x:c>
      <x:c r="I7" s="121" t="n">
        <x:f>IF($E7="Amânat",0,Setari!$B$8)</x:f>
        <x:v>8</x:v>
      </x:c>
      <x:c r="J7" s="121" t="n">
        <x:f>IF($E7="Amânat",0,Setari!$B$9)</x:f>
        <x:v>5</x:v>
      </x:c>
      <x:c r="K7" s="121" t="n">
        <x:f>SUM(G7:J7)</x:f>
        <x:v>48</x:v>
      </x:c>
      <x:c r="L7" s="122" t="n">
        <x:f>K7/60</x:f>
        <x:v>0.8</x:v>
      </x:c>
      <x:c r="M7" s="119" t="str">
        <x:v>2007/varianta_001.md</x:v>
      </x:c>
      <x:c r="N7" s="119" t="str">
        <x:v>2007/varianta_001.pdf</x:v>
      </x:c>
      <x:c r="O7" s="119" t="str">
        <x:v>Nu există în folder</x:v>
      </x:c>
      <x:c r="P7" s="123" t="str"/>
    </x:row>
    <x:row r="8">
      <x:c r="A8" s="118" t="n">
        <x:v>2</x:v>
      </x:c>
      <x:c r="B8" s="119" t="n">
        <x:v>2007</x:v>
      </x:c>
      <x:c r="C8" s="119" t="str">
        <x:v>Testare Națională</x:v>
      </x:c>
      <x:c r="D8" s="119" t="str">
        <x:v>Varianta 002</x:v>
      </x:c>
      <x:c r="E8" s="120" t="str">
        <x:v>Neînceput</x:v>
      </x:c>
      <x:c r="F8" s="120" t="str">
        <x:v>Normal</x:v>
      </x:c>
      <x:c r="G8" s="121" t="n">
        <x:f>IF($E8="Amânat",0,Setari!$B$6)</x:f>
        <x:v>20</x:v>
      </x:c>
      <x:c r="H8" s="121" t="n">
        <x:f>IF($E8="Amânat",0,Setari!$B$7)</x:f>
        <x:v>15</x:v>
      </x:c>
      <x:c r="I8" s="121" t="n">
        <x:f>IF($E8="Amânat",0,Setari!$B$8)</x:f>
        <x:v>8</x:v>
      </x:c>
      <x:c r="J8" s="121" t="n">
        <x:f>IF($E8="Amânat",0,Setari!$B$9)</x:f>
        <x:v>5</x:v>
      </x:c>
      <x:c r="K8" s="121" t="n">
        <x:f>SUM(G8:J8)</x:f>
        <x:v>48</x:v>
      </x:c>
      <x:c r="L8" s="122" t="n">
        <x:f>K8/60</x:f>
        <x:v>0.8</x:v>
      </x:c>
      <x:c r="M8" s="119" t="str">
        <x:v>2007/varianta_002.md</x:v>
      </x:c>
      <x:c r="N8" s="119" t="str">
        <x:v>2007/varianta_002.pdf</x:v>
      </x:c>
      <x:c r="O8" s="119" t="str">
        <x:v>Nu există în folder</x:v>
      </x:c>
      <x:c r="P8" s="123" t="str"/>
    </x:row>
    <x:row r="9">
      <x:c r="A9" s="118" t="n">
        <x:v>3</x:v>
      </x:c>
      <x:c r="B9" s="119" t="n">
        <x:v>2007</x:v>
      </x:c>
      <x:c r="C9" s="119" t="str">
        <x:v>Testare Națională</x:v>
      </x:c>
      <x:c r="D9" s="119" t="str">
        <x:v>Varianta 003</x:v>
      </x:c>
      <x:c r="E9" s="120" t="str">
        <x:v>Neînceput</x:v>
      </x:c>
      <x:c r="F9" s="120" t="str">
        <x:v>Normal</x:v>
      </x:c>
      <x:c r="G9" s="121" t="n">
        <x:f>IF($E9="Amânat",0,Setari!$B$6)</x:f>
        <x:v>20</x:v>
      </x:c>
      <x:c r="H9" s="121" t="n">
        <x:f>IF($E9="Amânat",0,Setari!$B$7)</x:f>
        <x:v>15</x:v>
      </x:c>
      <x:c r="I9" s="121" t="n">
        <x:f>IF($E9="Amânat",0,Setari!$B$8)</x:f>
        <x:v>8</x:v>
      </x:c>
      <x:c r="J9" s="121" t="n">
        <x:f>IF($E9="Amânat",0,Setari!$B$9)</x:f>
        <x:v>5</x:v>
      </x:c>
      <x:c r="K9" s="121" t="n">
        <x:f>SUM(G9:J9)</x:f>
        <x:v>48</x:v>
      </x:c>
      <x:c r="L9" s="122" t="n">
        <x:f>K9/60</x:f>
        <x:v>0.8</x:v>
      </x:c>
      <x:c r="M9" s="119" t="str">
        <x:v>2007/varianta_003.md</x:v>
      </x:c>
      <x:c r="N9" s="119" t="str">
        <x:v>2007/varianta_003.pdf</x:v>
      </x:c>
      <x:c r="O9" s="119" t="str">
        <x:v>Nu există în folder</x:v>
      </x:c>
      <x:c r="P9" s="123" t="str"/>
    </x:row>
    <x:row r="10">
      <x:c r="A10" s="118" t="n">
        <x:v>4</x:v>
      </x:c>
      <x:c r="B10" s="119" t="n">
        <x:v>2007</x:v>
      </x:c>
      <x:c r="C10" s="119" t="str">
        <x:v>Testare Națională</x:v>
      </x:c>
      <x:c r="D10" s="119" t="str">
        <x:v>Varianta 004</x:v>
      </x:c>
      <x:c r="E10" s="120" t="str">
        <x:v>Neînceput</x:v>
      </x:c>
      <x:c r="F10" s="120" t="str">
        <x:v>Normal</x:v>
      </x:c>
      <x:c r="G10" s="121" t="n">
        <x:f>IF($E10="Amânat",0,Setari!$B$6)</x:f>
        <x:v>20</x:v>
      </x:c>
      <x:c r="H10" s="121" t="n">
        <x:f>IF($E10="Amânat",0,Setari!$B$7)</x:f>
        <x:v>15</x:v>
      </x:c>
      <x:c r="I10" s="121" t="n">
        <x:f>IF($E10="Amânat",0,Setari!$B$8)</x:f>
        <x:v>8</x:v>
      </x:c>
      <x:c r="J10" s="121" t="n">
        <x:f>IF($E10="Amânat",0,Setari!$B$9)</x:f>
        <x:v>5</x:v>
      </x:c>
      <x:c r="K10" s="121" t="n">
        <x:f>SUM(G10:J10)</x:f>
        <x:v>48</x:v>
      </x:c>
      <x:c r="L10" s="122" t="n">
        <x:f>K10/60</x:f>
        <x:v>0.8</x:v>
      </x:c>
      <x:c r="M10" s="119" t="str">
        <x:v>2007/varianta_004.md</x:v>
      </x:c>
      <x:c r="N10" s="119" t="str">
        <x:v>2007/varianta_004.pdf</x:v>
      </x:c>
      <x:c r="O10" s="119" t="str">
        <x:v>Nu există în folder</x:v>
      </x:c>
      <x:c r="P10" s="123" t="str"/>
    </x:row>
    <x:row r="11">
      <x:c r="A11" s="118" t="n">
        <x:v>5</x:v>
      </x:c>
      <x:c r="B11" s="119" t="n">
        <x:v>2007</x:v>
      </x:c>
      <x:c r="C11" s="119" t="str">
        <x:v>Testare Națională</x:v>
      </x:c>
      <x:c r="D11" s="119" t="str">
        <x:v>Varianta 005</x:v>
      </x:c>
      <x:c r="E11" s="120" t="str">
        <x:v>Neînceput</x:v>
      </x:c>
      <x:c r="F11" s="120" t="str">
        <x:v>Normal</x:v>
      </x:c>
      <x:c r="G11" s="121" t="n">
        <x:f>IF($E11="Amânat",0,Setari!$B$6)</x:f>
        <x:v>20</x:v>
      </x:c>
      <x:c r="H11" s="121" t="n">
        <x:f>IF($E11="Amânat",0,Setari!$B$7)</x:f>
        <x:v>15</x:v>
      </x:c>
      <x:c r="I11" s="121" t="n">
        <x:f>IF($E11="Amânat",0,Setari!$B$8)</x:f>
        <x:v>8</x:v>
      </x:c>
      <x:c r="J11" s="121" t="n">
        <x:f>IF($E11="Amânat",0,Setari!$B$9)</x:f>
        <x:v>5</x:v>
      </x:c>
      <x:c r="K11" s="121" t="n">
        <x:f>SUM(G11:J11)</x:f>
        <x:v>48</x:v>
      </x:c>
      <x:c r="L11" s="122" t="n">
        <x:f>K11/60</x:f>
        <x:v>0.8</x:v>
      </x:c>
      <x:c r="M11" s="119" t="str">
        <x:v>2007/varianta_005.md</x:v>
      </x:c>
      <x:c r="N11" s="119" t="str">
        <x:v>2007/varianta_005.pdf</x:v>
      </x:c>
      <x:c r="O11" s="119" t="str">
        <x:v>Nu există în folder</x:v>
      </x:c>
      <x:c r="P11" s="123" t="str"/>
    </x:row>
    <x:row r="12">
      <x:c r="A12" s="118" t="n">
        <x:v>6</x:v>
      </x:c>
      <x:c r="B12" s="119" t="n">
        <x:v>2007</x:v>
      </x:c>
      <x:c r="C12" s="119" t="str">
        <x:v>Testare Națională</x:v>
      </x:c>
      <x:c r="D12" s="119" t="str">
        <x:v>Varianta 006</x:v>
      </x:c>
      <x:c r="E12" s="120" t="str">
        <x:v>Neînceput</x:v>
      </x:c>
      <x:c r="F12" s="120" t="str">
        <x:v>Normal</x:v>
      </x:c>
      <x:c r="G12" s="121" t="n">
        <x:f>IF($E12="Amânat",0,Setari!$B$6)</x:f>
        <x:v>20</x:v>
      </x:c>
      <x:c r="H12" s="121" t="n">
        <x:f>IF($E12="Amânat",0,Setari!$B$7)</x:f>
        <x:v>15</x:v>
      </x:c>
      <x:c r="I12" s="121" t="n">
        <x:f>IF($E12="Amânat",0,Setari!$B$8)</x:f>
        <x:v>8</x:v>
      </x:c>
      <x:c r="J12" s="121" t="n">
        <x:f>IF($E12="Amânat",0,Setari!$B$9)</x:f>
        <x:v>5</x:v>
      </x:c>
      <x:c r="K12" s="121" t="n">
        <x:f>SUM(G12:J12)</x:f>
        <x:v>48</x:v>
      </x:c>
      <x:c r="L12" s="122" t="n">
        <x:f>K12/60</x:f>
        <x:v>0.8</x:v>
      </x:c>
      <x:c r="M12" s="119" t="str">
        <x:v>2007/varianta_006.md</x:v>
      </x:c>
      <x:c r="N12" s="119" t="str">
        <x:v>2007/varianta_006.pdf</x:v>
      </x:c>
      <x:c r="O12" s="119" t="str">
        <x:v>Nu există în folder</x:v>
      </x:c>
      <x:c r="P12" s="123" t="str"/>
    </x:row>
    <x:row r="13">
      <x:c r="A13" s="118" t="n">
        <x:v>7</x:v>
      </x:c>
      <x:c r="B13" s="119" t="n">
        <x:v>2007</x:v>
      </x:c>
      <x:c r="C13" s="119" t="str">
        <x:v>Testare Națională</x:v>
      </x:c>
      <x:c r="D13" s="119" t="str">
        <x:v>Varianta 007</x:v>
      </x:c>
      <x:c r="E13" s="120" t="str">
        <x:v>Neînceput</x:v>
      </x:c>
      <x:c r="F13" s="120" t="str">
        <x:v>Normal</x:v>
      </x:c>
      <x:c r="G13" s="121" t="n">
        <x:f>IF($E13="Amânat",0,Setari!$B$6)</x:f>
        <x:v>20</x:v>
      </x:c>
      <x:c r="H13" s="121" t="n">
        <x:f>IF($E13="Amânat",0,Setari!$B$7)</x:f>
        <x:v>15</x:v>
      </x:c>
      <x:c r="I13" s="121" t="n">
        <x:f>IF($E13="Amânat",0,Setari!$B$8)</x:f>
        <x:v>8</x:v>
      </x:c>
      <x:c r="J13" s="121" t="n">
        <x:f>IF($E13="Amânat",0,Setari!$B$9)</x:f>
        <x:v>5</x:v>
      </x:c>
      <x:c r="K13" s="121" t="n">
        <x:f>SUM(G13:J13)</x:f>
        <x:v>48</x:v>
      </x:c>
      <x:c r="L13" s="122" t="n">
        <x:f>K13/60</x:f>
        <x:v>0.8</x:v>
      </x:c>
      <x:c r="M13" s="119" t="str">
        <x:v>2007/varianta_007.md</x:v>
      </x:c>
      <x:c r="N13" s="119" t="str">
        <x:v>2007/varianta_007.pdf</x:v>
      </x:c>
      <x:c r="O13" s="119" t="str">
        <x:v>Nu există în folder</x:v>
      </x:c>
      <x:c r="P13" s="123" t="str"/>
    </x:row>
    <x:row r="14">
      <x:c r="A14" s="118" t="n">
        <x:v>8</x:v>
      </x:c>
      <x:c r="B14" s="119" t="n">
        <x:v>2007</x:v>
      </x:c>
      <x:c r="C14" s="119" t="str">
        <x:v>Testare Națională</x:v>
      </x:c>
      <x:c r="D14" s="119" t="str">
        <x:v>Varianta 008</x:v>
      </x:c>
      <x:c r="E14" s="120" t="str">
        <x:v>Neînceput</x:v>
      </x:c>
      <x:c r="F14" s="120" t="str">
        <x:v>Normal</x:v>
      </x:c>
      <x:c r="G14" s="121" t="n">
        <x:f>IF($E14="Amânat",0,Setari!$B$6)</x:f>
        <x:v>20</x:v>
      </x:c>
      <x:c r="H14" s="121" t="n">
        <x:f>IF($E14="Amânat",0,Setari!$B$7)</x:f>
        <x:v>15</x:v>
      </x:c>
      <x:c r="I14" s="121" t="n">
        <x:f>IF($E14="Amânat",0,Setari!$B$8)</x:f>
        <x:v>8</x:v>
      </x:c>
      <x:c r="J14" s="121" t="n">
        <x:f>IF($E14="Amânat",0,Setari!$B$9)</x:f>
        <x:v>5</x:v>
      </x:c>
      <x:c r="K14" s="121" t="n">
        <x:f>SUM(G14:J14)</x:f>
        <x:v>48</x:v>
      </x:c>
      <x:c r="L14" s="122" t="n">
        <x:f>K14/60</x:f>
        <x:v>0.8</x:v>
      </x:c>
      <x:c r="M14" s="119" t="str">
        <x:v>2007/varianta_008.md</x:v>
      </x:c>
      <x:c r="N14" s="119" t="str">
        <x:v>2007/varianta_008.pdf</x:v>
      </x:c>
      <x:c r="O14" s="119" t="str">
        <x:v>Nu există în folder</x:v>
      </x:c>
      <x:c r="P14" s="123" t="str"/>
    </x:row>
    <x:row r="15">
      <x:c r="A15" s="118" t="n">
        <x:v>9</x:v>
      </x:c>
      <x:c r="B15" s="119" t="n">
        <x:v>2007</x:v>
      </x:c>
      <x:c r="C15" s="119" t="str">
        <x:v>Testare Națională</x:v>
      </x:c>
      <x:c r="D15" s="119" t="str">
        <x:v>Varianta 009</x:v>
      </x:c>
      <x:c r="E15" s="120" t="str">
        <x:v>Neînceput</x:v>
      </x:c>
      <x:c r="F15" s="120" t="str">
        <x:v>Normal</x:v>
      </x:c>
      <x:c r="G15" s="121" t="n">
        <x:f>IF($E15="Amânat",0,Setari!$B$6)</x:f>
        <x:v>20</x:v>
      </x:c>
      <x:c r="H15" s="121" t="n">
        <x:f>IF($E15="Amânat",0,Setari!$B$7)</x:f>
        <x:v>15</x:v>
      </x:c>
      <x:c r="I15" s="121" t="n">
        <x:f>IF($E15="Amânat",0,Setari!$B$8)</x:f>
        <x:v>8</x:v>
      </x:c>
      <x:c r="J15" s="121" t="n">
        <x:f>IF($E15="Amânat",0,Setari!$B$9)</x:f>
        <x:v>5</x:v>
      </x:c>
      <x:c r="K15" s="121" t="n">
        <x:f>SUM(G15:J15)</x:f>
        <x:v>48</x:v>
      </x:c>
      <x:c r="L15" s="122" t="n">
        <x:f>K15/60</x:f>
        <x:v>0.8</x:v>
      </x:c>
      <x:c r="M15" s="119" t="str">
        <x:v>2007/varianta_009.md</x:v>
      </x:c>
      <x:c r="N15" s="119" t="str">
        <x:v>2007/varianta_009.pdf</x:v>
      </x:c>
      <x:c r="O15" s="119" t="str">
        <x:v>Nu există în folder</x:v>
      </x:c>
      <x:c r="P15" s="123" t="str"/>
    </x:row>
    <x:row r="16">
      <x:c r="A16" s="118" t="n">
        <x:v>10</x:v>
      </x:c>
      <x:c r="B16" s="119" t="n">
        <x:v>2007</x:v>
      </x:c>
      <x:c r="C16" s="119" t="str">
        <x:v>Testare Națională</x:v>
      </x:c>
      <x:c r="D16" s="119" t="str">
        <x:v>Varianta 010</x:v>
      </x:c>
      <x:c r="E16" s="120" t="str">
        <x:v>Neînceput</x:v>
      </x:c>
      <x:c r="F16" s="120" t="str">
        <x:v>Normal</x:v>
      </x:c>
      <x:c r="G16" s="121" t="n">
        <x:f>IF($E16="Amânat",0,Setari!$B$6)</x:f>
        <x:v>20</x:v>
      </x:c>
      <x:c r="H16" s="121" t="n">
        <x:f>IF($E16="Amânat",0,Setari!$B$7)</x:f>
        <x:v>15</x:v>
      </x:c>
      <x:c r="I16" s="121" t="n">
        <x:f>IF($E16="Amânat",0,Setari!$B$8)</x:f>
        <x:v>8</x:v>
      </x:c>
      <x:c r="J16" s="121" t="n">
        <x:f>IF($E16="Amânat",0,Setari!$B$9)</x:f>
        <x:v>5</x:v>
      </x:c>
      <x:c r="K16" s="121" t="n">
        <x:f>SUM(G16:J16)</x:f>
        <x:v>48</x:v>
      </x:c>
      <x:c r="L16" s="122" t="n">
        <x:f>K16/60</x:f>
        <x:v>0.8</x:v>
      </x:c>
      <x:c r="M16" s="119" t="str">
        <x:v>2007/varianta_010.md</x:v>
      </x:c>
      <x:c r="N16" s="119" t="str">
        <x:v>2007/varianta_010.pdf</x:v>
      </x:c>
      <x:c r="O16" s="119" t="str">
        <x:v>Nu există în folder</x:v>
      </x:c>
      <x:c r="P16" s="123" t="str"/>
    </x:row>
    <x:row r="17">
      <x:c r="A17" s="118" t="n">
        <x:v>11</x:v>
      </x:c>
      <x:c r="B17" s="119" t="n">
        <x:v>2007</x:v>
      </x:c>
      <x:c r="C17" s="119" t="str">
        <x:v>Testare Națională</x:v>
      </x:c>
      <x:c r="D17" s="119" t="str">
        <x:v>Varianta 011</x:v>
      </x:c>
      <x:c r="E17" s="120" t="str">
        <x:v>Neînceput</x:v>
      </x:c>
      <x:c r="F17" s="120" t="str">
        <x:v>Normal</x:v>
      </x:c>
      <x:c r="G17" s="121" t="n">
        <x:f>IF($E17="Amânat",0,Setari!$B$6)</x:f>
        <x:v>20</x:v>
      </x:c>
      <x:c r="H17" s="121" t="n">
        <x:f>IF($E17="Amânat",0,Setari!$B$7)</x:f>
        <x:v>15</x:v>
      </x:c>
      <x:c r="I17" s="121" t="n">
        <x:f>IF($E17="Amânat",0,Setari!$B$8)</x:f>
        <x:v>8</x:v>
      </x:c>
      <x:c r="J17" s="121" t="n">
        <x:f>IF($E17="Amânat",0,Setari!$B$9)</x:f>
        <x:v>5</x:v>
      </x:c>
      <x:c r="K17" s="121" t="n">
        <x:f>SUM(G17:J17)</x:f>
        <x:v>48</x:v>
      </x:c>
      <x:c r="L17" s="122" t="n">
        <x:f>K17/60</x:f>
        <x:v>0.8</x:v>
      </x:c>
      <x:c r="M17" s="119" t="str">
        <x:v>2007/varianta_011.md</x:v>
      </x:c>
      <x:c r="N17" s="119" t="str">
        <x:v>2007/varianta_011.pdf</x:v>
      </x:c>
      <x:c r="O17" s="119" t="str">
        <x:v>Nu există în folder</x:v>
      </x:c>
      <x:c r="P17" s="123" t="str"/>
    </x:row>
    <x:row r="18">
      <x:c r="A18" s="118" t="n">
        <x:v>12</x:v>
      </x:c>
      <x:c r="B18" s="119" t="n">
        <x:v>2007</x:v>
      </x:c>
      <x:c r="C18" s="119" t="str">
        <x:v>Testare Națională</x:v>
      </x:c>
      <x:c r="D18" s="119" t="str">
        <x:v>Varianta 012</x:v>
      </x:c>
      <x:c r="E18" s="120" t="str">
        <x:v>Neînceput</x:v>
      </x:c>
      <x:c r="F18" s="120" t="str">
        <x:v>Normal</x:v>
      </x:c>
      <x:c r="G18" s="121" t="n">
        <x:f>IF($E18="Amânat",0,Setari!$B$6)</x:f>
        <x:v>20</x:v>
      </x:c>
      <x:c r="H18" s="121" t="n">
        <x:f>IF($E18="Amânat",0,Setari!$B$7)</x:f>
        <x:v>15</x:v>
      </x:c>
      <x:c r="I18" s="121" t="n">
        <x:f>IF($E18="Amânat",0,Setari!$B$8)</x:f>
        <x:v>8</x:v>
      </x:c>
      <x:c r="J18" s="121" t="n">
        <x:f>IF($E18="Amânat",0,Setari!$B$9)</x:f>
        <x:v>5</x:v>
      </x:c>
      <x:c r="K18" s="121" t="n">
        <x:f>SUM(G18:J18)</x:f>
        <x:v>48</x:v>
      </x:c>
      <x:c r="L18" s="122" t="n">
        <x:f>K18/60</x:f>
        <x:v>0.8</x:v>
      </x:c>
      <x:c r="M18" s="119" t="str">
        <x:v>2007/varianta_012.md</x:v>
      </x:c>
      <x:c r="N18" s="119" t="str">
        <x:v>2007/varianta_012.pdf</x:v>
      </x:c>
      <x:c r="O18" s="119" t="str">
        <x:v>Nu există în folder</x:v>
      </x:c>
      <x:c r="P18" s="123" t="str"/>
    </x:row>
    <x:row r="19">
      <x:c r="A19" s="118" t="n">
        <x:v>13</x:v>
      </x:c>
      <x:c r="B19" s="119" t="n">
        <x:v>2007</x:v>
      </x:c>
      <x:c r="C19" s="119" t="str">
        <x:v>Testare Națională</x:v>
      </x:c>
      <x:c r="D19" s="119" t="str">
        <x:v>Varianta 013</x:v>
      </x:c>
      <x:c r="E19" s="120" t="str">
        <x:v>Neînceput</x:v>
      </x:c>
      <x:c r="F19" s="120" t="str">
        <x:v>Normal</x:v>
      </x:c>
      <x:c r="G19" s="121" t="n">
        <x:f>IF($E19="Amânat",0,Setari!$B$6)</x:f>
        <x:v>20</x:v>
      </x:c>
      <x:c r="H19" s="121" t="n">
        <x:f>IF($E19="Amânat",0,Setari!$B$7)</x:f>
        <x:v>15</x:v>
      </x:c>
      <x:c r="I19" s="121" t="n">
        <x:f>IF($E19="Amânat",0,Setari!$B$8)</x:f>
        <x:v>8</x:v>
      </x:c>
      <x:c r="J19" s="121" t="n">
        <x:f>IF($E19="Amânat",0,Setari!$B$9)</x:f>
        <x:v>5</x:v>
      </x:c>
      <x:c r="K19" s="121" t="n">
        <x:f>SUM(G19:J19)</x:f>
        <x:v>48</x:v>
      </x:c>
      <x:c r="L19" s="122" t="n">
        <x:f>K19/60</x:f>
        <x:v>0.8</x:v>
      </x:c>
      <x:c r="M19" s="119" t="str">
        <x:v>2007/varianta_013.md</x:v>
      </x:c>
      <x:c r="N19" s="119" t="str">
        <x:v>2007/varianta_013.pdf</x:v>
      </x:c>
      <x:c r="O19" s="119" t="str">
        <x:v>Nu există în folder</x:v>
      </x:c>
      <x:c r="P19" s="123" t="str"/>
    </x:row>
    <x:row r="20">
      <x:c r="A20" s="118" t="n">
        <x:v>14</x:v>
      </x:c>
      <x:c r="B20" s="119" t="n">
        <x:v>2007</x:v>
      </x:c>
      <x:c r="C20" s="119" t="str">
        <x:v>Testare Națională</x:v>
      </x:c>
      <x:c r="D20" s="119" t="str">
        <x:v>Varianta 014</x:v>
      </x:c>
      <x:c r="E20" s="120" t="str">
        <x:v>Neînceput</x:v>
      </x:c>
      <x:c r="F20" s="120" t="str">
        <x:v>Normal</x:v>
      </x:c>
      <x:c r="G20" s="121" t="n">
        <x:f>IF($E20="Amânat",0,Setari!$B$6)</x:f>
        <x:v>20</x:v>
      </x:c>
      <x:c r="H20" s="121" t="n">
        <x:f>IF($E20="Amânat",0,Setari!$B$7)</x:f>
        <x:v>15</x:v>
      </x:c>
      <x:c r="I20" s="121" t="n">
        <x:f>IF($E20="Amânat",0,Setari!$B$8)</x:f>
        <x:v>8</x:v>
      </x:c>
      <x:c r="J20" s="121" t="n">
        <x:f>IF($E20="Amânat",0,Setari!$B$9)</x:f>
        <x:v>5</x:v>
      </x:c>
      <x:c r="K20" s="121" t="n">
        <x:f>SUM(G20:J20)</x:f>
        <x:v>48</x:v>
      </x:c>
      <x:c r="L20" s="122" t="n">
        <x:f>K20/60</x:f>
        <x:v>0.8</x:v>
      </x:c>
      <x:c r="M20" s="119" t="str">
        <x:v>2007/varianta_014.md</x:v>
      </x:c>
      <x:c r="N20" s="119" t="str">
        <x:v>2007/varianta_014.pdf</x:v>
      </x:c>
      <x:c r="O20" s="119" t="str">
        <x:v>Nu există în folder</x:v>
      </x:c>
      <x:c r="P20" s="123" t="str"/>
    </x:row>
    <x:row r="21">
      <x:c r="A21" s="118" t="n">
        <x:v>15</x:v>
      </x:c>
      <x:c r="B21" s="119" t="n">
        <x:v>2007</x:v>
      </x:c>
      <x:c r="C21" s="119" t="str">
        <x:v>Testare Națională</x:v>
      </x:c>
      <x:c r="D21" s="119" t="str">
        <x:v>Varianta 015</x:v>
      </x:c>
      <x:c r="E21" s="120" t="str">
        <x:v>Neînceput</x:v>
      </x:c>
      <x:c r="F21" s="120" t="str">
        <x:v>Normal</x:v>
      </x:c>
      <x:c r="G21" s="121" t="n">
        <x:f>IF($E21="Amânat",0,Setari!$B$6)</x:f>
        <x:v>20</x:v>
      </x:c>
      <x:c r="H21" s="121" t="n">
        <x:f>IF($E21="Amânat",0,Setari!$B$7)</x:f>
        <x:v>15</x:v>
      </x:c>
      <x:c r="I21" s="121" t="n">
        <x:f>IF($E21="Amânat",0,Setari!$B$8)</x:f>
        <x:v>8</x:v>
      </x:c>
      <x:c r="J21" s="121" t="n">
        <x:f>IF($E21="Amânat",0,Setari!$B$9)</x:f>
        <x:v>5</x:v>
      </x:c>
      <x:c r="K21" s="121" t="n">
        <x:f>SUM(G21:J21)</x:f>
        <x:v>48</x:v>
      </x:c>
      <x:c r="L21" s="122" t="n">
        <x:f>K21/60</x:f>
        <x:v>0.8</x:v>
      </x:c>
      <x:c r="M21" s="119" t="str">
        <x:v>2007/varianta_015.md</x:v>
      </x:c>
      <x:c r="N21" s="119" t="str">
        <x:v>2007/varianta_015.pdf</x:v>
      </x:c>
      <x:c r="O21" s="119" t="str">
        <x:v>Nu există în folder</x:v>
      </x:c>
      <x:c r="P21" s="123" t="str"/>
    </x:row>
    <x:row r="22">
      <x:c r="A22" s="118" t="n">
        <x:v>16</x:v>
      </x:c>
      <x:c r="B22" s="119" t="n">
        <x:v>2007</x:v>
      </x:c>
      <x:c r="C22" s="119" t="str">
        <x:v>Testare Națională</x:v>
      </x:c>
      <x:c r="D22" s="119" t="str">
        <x:v>Varianta 016</x:v>
      </x:c>
      <x:c r="E22" s="120" t="str">
        <x:v>Neînceput</x:v>
      </x:c>
      <x:c r="F22" s="120" t="str">
        <x:v>Normal</x:v>
      </x:c>
      <x:c r="G22" s="121" t="n">
        <x:f>IF($E22="Amânat",0,Setari!$B$6)</x:f>
        <x:v>20</x:v>
      </x:c>
      <x:c r="H22" s="121" t="n">
        <x:f>IF($E22="Amânat",0,Setari!$B$7)</x:f>
        <x:v>15</x:v>
      </x:c>
      <x:c r="I22" s="121" t="n">
        <x:f>IF($E22="Amânat",0,Setari!$B$8)</x:f>
        <x:v>8</x:v>
      </x:c>
      <x:c r="J22" s="121" t="n">
        <x:f>IF($E22="Amânat",0,Setari!$B$9)</x:f>
        <x:v>5</x:v>
      </x:c>
      <x:c r="K22" s="121" t="n">
        <x:f>SUM(G22:J22)</x:f>
        <x:v>48</x:v>
      </x:c>
      <x:c r="L22" s="122" t="n">
        <x:f>K22/60</x:f>
        <x:v>0.8</x:v>
      </x:c>
      <x:c r="M22" s="119" t="str">
        <x:v>2007/varianta_016.md</x:v>
      </x:c>
      <x:c r="N22" s="119" t="str">
        <x:v>2007/varianta_016.pdf</x:v>
      </x:c>
      <x:c r="O22" s="119" t="str">
        <x:v>Nu există în folder</x:v>
      </x:c>
      <x:c r="P22" s="123" t="str"/>
    </x:row>
    <x:row r="23">
      <x:c r="A23" s="118" t="n">
        <x:v>17</x:v>
      </x:c>
      <x:c r="B23" s="119" t="n">
        <x:v>2007</x:v>
      </x:c>
      <x:c r="C23" s="119" t="str">
        <x:v>Testare Națională</x:v>
      </x:c>
      <x:c r="D23" s="119" t="str">
        <x:v>Varianta 017</x:v>
      </x:c>
      <x:c r="E23" s="120" t="str">
        <x:v>Neînceput</x:v>
      </x:c>
      <x:c r="F23" s="120" t="str">
        <x:v>Normal</x:v>
      </x:c>
      <x:c r="G23" s="121" t="n">
        <x:f>IF($E23="Amânat",0,Setari!$B$6)</x:f>
        <x:v>20</x:v>
      </x:c>
      <x:c r="H23" s="121" t="n">
        <x:f>IF($E23="Amânat",0,Setari!$B$7)</x:f>
        <x:v>15</x:v>
      </x:c>
      <x:c r="I23" s="121" t="n">
        <x:f>IF($E23="Amânat",0,Setari!$B$8)</x:f>
        <x:v>8</x:v>
      </x:c>
      <x:c r="J23" s="121" t="n">
        <x:f>IF($E23="Amânat",0,Setari!$B$9)</x:f>
        <x:v>5</x:v>
      </x:c>
      <x:c r="K23" s="121" t="n">
        <x:f>SUM(G23:J23)</x:f>
        <x:v>48</x:v>
      </x:c>
      <x:c r="L23" s="122" t="n">
        <x:f>K23/60</x:f>
        <x:v>0.8</x:v>
      </x:c>
      <x:c r="M23" s="119" t="str">
        <x:v>2007/varianta_017.md</x:v>
      </x:c>
      <x:c r="N23" s="119" t="str">
        <x:v>2007/varianta_017.pdf</x:v>
      </x:c>
      <x:c r="O23" s="119" t="str">
        <x:v>Nu există în folder</x:v>
      </x:c>
      <x:c r="P23" s="123" t="str"/>
    </x:row>
    <x:row r="24">
      <x:c r="A24" s="118" t="n">
        <x:v>18</x:v>
      </x:c>
      <x:c r="B24" s="119" t="n">
        <x:v>2007</x:v>
      </x:c>
      <x:c r="C24" s="119" t="str">
        <x:v>Testare Națională</x:v>
      </x:c>
      <x:c r="D24" s="119" t="str">
        <x:v>Varianta 018</x:v>
      </x:c>
      <x:c r="E24" s="120" t="str">
        <x:v>Neînceput</x:v>
      </x:c>
      <x:c r="F24" s="120" t="str">
        <x:v>Normal</x:v>
      </x:c>
      <x:c r="G24" s="121" t="n">
        <x:f>IF($E24="Amânat",0,Setari!$B$6)</x:f>
        <x:v>20</x:v>
      </x:c>
      <x:c r="H24" s="121" t="n">
        <x:f>IF($E24="Amânat",0,Setari!$B$7)</x:f>
        <x:v>15</x:v>
      </x:c>
      <x:c r="I24" s="121" t="n">
        <x:f>IF($E24="Amânat",0,Setari!$B$8)</x:f>
        <x:v>8</x:v>
      </x:c>
      <x:c r="J24" s="121" t="n">
        <x:f>IF($E24="Amânat",0,Setari!$B$9)</x:f>
        <x:v>5</x:v>
      </x:c>
      <x:c r="K24" s="121" t="n">
        <x:f>SUM(G24:J24)</x:f>
        <x:v>48</x:v>
      </x:c>
      <x:c r="L24" s="122" t="n">
        <x:f>K24/60</x:f>
        <x:v>0.8</x:v>
      </x:c>
      <x:c r="M24" s="119" t="str">
        <x:v>2007/varianta_018.md</x:v>
      </x:c>
      <x:c r="N24" s="119" t="str">
        <x:v>2007/varianta_018.pdf</x:v>
      </x:c>
      <x:c r="O24" s="119" t="str">
        <x:v>Nu există în folder</x:v>
      </x:c>
      <x:c r="P24" s="123" t="str"/>
    </x:row>
    <x:row r="25">
      <x:c r="A25" s="118" t="n">
        <x:v>19</x:v>
      </x:c>
      <x:c r="B25" s="119" t="n">
        <x:v>2007</x:v>
      </x:c>
      <x:c r="C25" s="119" t="str">
        <x:v>Testare Națională</x:v>
      </x:c>
      <x:c r="D25" s="119" t="str">
        <x:v>Varianta 019</x:v>
      </x:c>
      <x:c r="E25" s="120" t="str">
        <x:v>Neînceput</x:v>
      </x:c>
      <x:c r="F25" s="120" t="str">
        <x:v>Normal</x:v>
      </x:c>
      <x:c r="G25" s="121" t="n">
        <x:f>IF($E25="Amânat",0,Setari!$B$6)</x:f>
        <x:v>20</x:v>
      </x:c>
      <x:c r="H25" s="121" t="n">
        <x:f>IF($E25="Amânat",0,Setari!$B$7)</x:f>
        <x:v>15</x:v>
      </x:c>
      <x:c r="I25" s="121" t="n">
        <x:f>IF($E25="Amânat",0,Setari!$B$8)</x:f>
        <x:v>8</x:v>
      </x:c>
      <x:c r="J25" s="121" t="n">
        <x:f>IF($E25="Amânat",0,Setari!$B$9)</x:f>
        <x:v>5</x:v>
      </x:c>
      <x:c r="K25" s="121" t="n">
        <x:f>SUM(G25:J25)</x:f>
        <x:v>48</x:v>
      </x:c>
      <x:c r="L25" s="122" t="n">
        <x:f>K25/60</x:f>
        <x:v>0.8</x:v>
      </x:c>
      <x:c r="M25" s="119" t="str">
        <x:v>2007/varianta_019.md</x:v>
      </x:c>
      <x:c r="N25" s="119" t="str">
        <x:v>2007/varianta_019.pdf</x:v>
      </x:c>
      <x:c r="O25" s="119" t="str">
        <x:v>Nu există în folder</x:v>
      </x:c>
      <x:c r="P25" s="123" t="str"/>
    </x:row>
    <x:row r="26">
      <x:c r="A26" s="118" t="n">
        <x:v>20</x:v>
      </x:c>
      <x:c r="B26" s="119" t="n">
        <x:v>2007</x:v>
      </x:c>
      <x:c r="C26" s="119" t="str">
        <x:v>Testare Națională</x:v>
      </x:c>
      <x:c r="D26" s="119" t="str">
        <x:v>Varianta 020</x:v>
      </x:c>
      <x:c r="E26" s="120" t="str">
        <x:v>Neînceput</x:v>
      </x:c>
      <x:c r="F26" s="120" t="str">
        <x:v>Normal</x:v>
      </x:c>
      <x:c r="G26" s="121" t="n">
        <x:f>IF($E26="Amânat",0,Setari!$B$6)</x:f>
        <x:v>20</x:v>
      </x:c>
      <x:c r="H26" s="121" t="n">
        <x:f>IF($E26="Amânat",0,Setari!$B$7)</x:f>
        <x:v>15</x:v>
      </x:c>
      <x:c r="I26" s="121" t="n">
        <x:f>IF($E26="Amânat",0,Setari!$B$8)</x:f>
        <x:v>8</x:v>
      </x:c>
      <x:c r="J26" s="121" t="n">
        <x:f>IF($E26="Amânat",0,Setari!$B$9)</x:f>
        <x:v>5</x:v>
      </x:c>
      <x:c r="K26" s="121" t="n">
        <x:f>SUM(G26:J26)</x:f>
        <x:v>48</x:v>
      </x:c>
      <x:c r="L26" s="122" t="n">
        <x:f>K26/60</x:f>
        <x:v>0.8</x:v>
      </x:c>
      <x:c r="M26" s="119" t="str">
        <x:v>2007/varianta_020.md</x:v>
      </x:c>
      <x:c r="N26" s="119" t="str">
        <x:v>2007/varianta_020.pdf</x:v>
      </x:c>
      <x:c r="O26" s="119" t="str">
        <x:v>Nu există în folder</x:v>
      </x:c>
      <x:c r="P26" s="123" t="str"/>
    </x:row>
    <x:row r="27">
      <x:c r="A27" s="118" t="n">
        <x:v>21</x:v>
      </x:c>
      <x:c r="B27" s="119" t="n">
        <x:v>2007</x:v>
      </x:c>
      <x:c r="C27" s="119" t="str">
        <x:v>Testare Națională</x:v>
      </x:c>
      <x:c r="D27" s="119" t="str">
        <x:v>Varianta 021</x:v>
      </x:c>
      <x:c r="E27" s="120" t="str">
        <x:v>Neînceput</x:v>
      </x:c>
      <x:c r="F27" s="120" t="str">
        <x:v>Normal</x:v>
      </x:c>
      <x:c r="G27" s="121" t="n">
        <x:f>IF($E27="Amânat",0,Setari!$B$6)</x:f>
        <x:v>20</x:v>
      </x:c>
      <x:c r="H27" s="121" t="n">
        <x:f>IF($E27="Amânat",0,Setari!$B$7)</x:f>
        <x:v>15</x:v>
      </x:c>
      <x:c r="I27" s="121" t="n">
        <x:f>IF($E27="Amânat",0,Setari!$B$8)</x:f>
        <x:v>8</x:v>
      </x:c>
      <x:c r="J27" s="121" t="n">
        <x:f>IF($E27="Amânat",0,Setari!$B$9)</x:f>
        <x:v>5</x:v>
      </x:c>
      <x:c r="K27" s="121" t="n">
        <x:f>SUM(G27:J27)</x:f>
        <x:v>48</x:v>
      </x:c>
      <x:c r="L27" s="122" t="n">
        <x:f>K27/60</x:f>
        <x:v>0.8</x:v>
      </x:c>
      <x:c r="M27" s="119" t="str">
        <x:v>2007/varianta_021.md</x:v>
      </x:c>
      <x:c r="N27" s="119" t="str">
        <x:v>2007/varianta_021.pdf</x:v>
      </x:c>
      <x:c r="O27" s="119" t="str">
        <x:v>Nu există în folder</x:v>
      </x:c>
      <x:c r="P27" s="123" t="str"/>
    </x:row>
    <x:row r="28">
      <x:c r="A28" s="118" t="n">
        <x:v>22</x:v>
      </x:c>
      <x:c r="B28" s="119" t="n">
        <x:v>2007</x:v>
      </x:c>
      <x:c r="C28" s="119" t="str">
        <x:v>Testare Națională</x:v>
      </x:c>
      <x:c r="D28" s="119" t="str">
        <x:v>Varianta 022</x:v>
      </x:c>
      <x:c r="E28" s="120" t="str">
        <x:v>Neînceput</x:v>
      </x:c>
      <x:c r="F28" s="120" t="str">
        <x:v>Normal</x:v>
      </x:c>
      <x:c r="G28" s="121" t="n">
        <x:f>IF($E28="Amânat",0,Setari!$B$6)</x:f>
        <x:v>20</x:v>
      </x:c>
      <x:c r="H28" s="121" t="n">
        <x:f>IF($E28="Amânat",0,Setari!$B$7)</x:f>
        <x:v>15</x:v>
      </x:c>
      <x:c r="I28" s="121" t="n">
        <x:f>IF($E28="Amânat",0,Setari!$B$8)</x:f>
        <x:v>8</x:v>
      </x:c>
      <x:c r="J28" s="121" t="n">
        <x:f>IF($E28="Amânat",0,Setari!$B$9)</x:f>
        <x:v>5</x:v>
      </x:c>
      <x:c r="K28" s="121" t="n">
        <x:f>SUM(G28:J28)</x:f>
        <x:v>48</x:v>
      </x:c>
      <x:c r="L28" s="122" t="n">
        <x:f>K28/60</x:f>
        <x:v>0.8</x:v>
      </x:c>
      <x:c r="M28" s="119" t="str">
        <x:v>2007/varianta_022.md</x:v>
      </x:c>
      <x:c r="N28" s="119" t="str">
        <x:v>2007/varianta_022.pdf</x:v>
      </x:c>
      <x:c r="O28" s="119" t="str">
        <x:v>Nu există în folder</x:v>
      </x:c>
      <x:c r="P28" s="123" t="str"/>
    </x:row>
    <x:row r="29">
      <x:c r="A29" s="118" t="n">
        <x:v>23</x:v>
      </x:c>
      <x:c r="B29" s="119" t="n">
        <x:v>2007</x:v>
      </x:c>
      <x:c r="C29" s="119" t="str">
        <x:v>Testare Națională</x:v>
      </x:c>
      <x:c r="D29" s="119" t="str">
        <x:v>Varianta 023</x:v>
      </x:c>
      <x:c r="E29" s="120" t="str">
        <x:v>Neînceput</x:v>
      </x:c>
      <x:c r="F29" s="120" t="str">
        <x:v>Normal</x:v>
      </x:c>
      <x:c r="G29" s="121" t="n">
        <x:f>IF($E29="Amânat",0,Setari!$B$6)</x:f>
        <x:v>20</x:v>
      </x:c>
      <x:c r="H29" s="121" t="n">
        <x:f>IF($E29="Amânat",0,Setari!$B$7)</x:f>
        <x:v>15</x:v>
      </x:c>
      <x:c r="I29" s="121" t="n">
        <x:f>IF($E29="Amânat",0,Setari!$B$8)</x:f>
        <x:v>8</x:v>
      </x:c>
      <x:c r="J29" s="121" t="n">
        <x:f>IF($E29="Amânat",0,Setari!$B$9)</x:f>
        <x:v>5</x:v>
      </x:c>
      <x:c r="K29" s="121" t="n">
        <x:f>SUM(G29:J29)</x:f>
        <x:v>48</x:v>
      </x:c>
      <x:c r="L29" s="122" t="n">
        <x:f>K29/60</x:f>
        <x:v>0.8</x:v>
      </x:c>
      <x:c r="M29" s="119" t="str">
        <x:v>2007/varianta_023.md</x:v>
      </x:c>
      <x:c r="N29" s="119" t="str">
        <x:v>2007/varianta_023.pdf</x:v>
      </x:c>
      <x:c r="O29" s="119" t="str">
        <x:v>Nu există în folder</x:v>
      </x:c>
      <x:c r="P29" s="123" t="str"/>
    </x:row>
    <x:row r="30">
      <x:c r="A30" s="118" t="n">
        <x:v>24</x:v>
      </x:c>
      <x:c r="B30" s="119" t="n">
        <x:v>2007</x:v>
      </x:c>
      <x:c r="C30" s="119" t="str">
        <x:v>Testare Națională</x:v>
      </x:c>
      <x:c r="D30" s="119" t="str">
        <x:v>Varianta 024</x:v>
      </x:c>
      <x:c r="E30" s="120" t="str">
        <x:v>Neînceput</x:v>
      </x:c>
      <x:c r="F30" s="120" t="str">
        <x:v>Normal</x:v>
      </x:c>
      <x:c r="G30" s="121" t="n">
        <x:f>IF($E30="Amânat",0,Setari!$B$6)</x:f>
        <x:v>20</x:v>
      </x:c>
      <x:c r="H30" s="121" t="n">
        <x:f>IF($E30="Amânat",0,Setari!$B$7)</x:f>
        <x:v>15</x:v>
      </x:c>
      <x:c r="I30" s="121" t="n">
        <x:f>IF($E30="Amânat",0,Setari!$B$8)</x:f>
        <x:v>8</x:v>
      </x:c>
      <x:c r="J30" s="121" t="n">
        <x:f>IF($E30="Amânat",0,Setari!$B$9)</x:f>
        <x:v>5</x:v>
      </x:c>
      <x:c r="K30" s="121" t="n">
        <x:f>SUM(G30:J30)</x:f>
        <x:v>48</x:v>
      </x:c>
      <x:c r="L30" s="122" t="n">
        <x:f>K30/60</x:f>
        <x:v>0.8</x:v>
      </x:c>
      <x:c r="M30" s="119" t="str">
        <x:v>2007/varianta_024.md</x:v>
      </x:c>
      <x:c r="N30" s="119" t="str">
        <x:v>2007/varianta_024.pdf</x:v>
      </x:c>
      <x:c r="O30" s="119" t="str">
        <x:v>Nu există în folder</x:v>
      </x:c>
      <x:c r="P30" s="123" t="str"/>
    </x:row>
    <x:row r="31">
      <x:c r="A31" s="118" t="n">
        <x:v>25</x:v>
      </x:c>
      <x:c r="B31" s="119" t="n">
        <x:v>2007</x:v>
      </x:c>
      <x:c r="C31" s="119" t="str">
        <x:v>Testare Națională</x:v>
      </x:c>
      <x:c r="D31" s="119" t="str">
        <x:v>Varianta 025</x:v>
      </x:c>
      <x:c r="E31" s="120" t="str">
        <x:v>Neînceput</x:v>
      </x:c>
      <x:c r="F31" s="120" t="str">
        <x:v>Normal</x:v>
      </x:c>
      <x:c r="G31" s="121" t="n">
        <x:f>IF($E31="Amânat",0,Setari!$B$6)</x:f>
        <x:v>20</x:v>
      </x:c>
      <x:c r="H31" s="121" t="n">
        <x:f>IF($E31="Amânat",0,Setari!$B$7)</x:f>
        <x:v>15</x:v>
      </x:c>
      <x:c r="I31" s="121" t="n">
        <x:f>IF($E31="Amânat",0,Setari!$B$8)</x:f>
        <x:v>8</x:v>
      </x:c>
      <x:c r="J31" s="121" t="n">
        <x:f>IF($E31="Amânat",0,Setari!$B$9)</x:f>
        <x:v>5</x:v>
      </x:c>
      <x:c r="K31" s="121" t="n">
        <x:f>SUM(G31:J31)</x:f>
        <x:v>48</x:v>
      </x:c>
      <x:c r="L31" s="122" t="n">
        <x:f>K31/60</x:f>
        <x:v>0.8</x:v>
      </x:c>
      <x:c r="M31" s="119" t="str">
        <x:v>2007/varianta_025.md</x:v>
      </x:c>
      <x:c r="N31" s="119" t="str">
        <x:v>2007/varianta_025.pdf</x:v>
      </x:c>
      <x:c r="O31" s="119" t="str">
        <x:v>Nu există în folder</x:v>
      </x:c>
      <x:c r="P31" s="123" t="str"/>
    </x:row>
    <x:row r="32">
      <x:c r="A32" s="118" t="n">
        <x:v>26</x:v>
      </x:c>
      <x:c r="B32" s="119" t="n">
        <x:v>2007</x:v>
      </x:c>
      <x:c r="C32" s="119" t="str">
        <x:v>Testare Națională</x:v>
      </x:c>
      <x:c r="D32" s="119" t="str">
        <x:v>Varianta 026</x:v>
      </x:c>
      <x:c r="E32" s="120" t="str">
        <x:v>Neînceput</x:v>
      </x:c>
      <x:c r="F32" s="120" t="str">
        <x:v>Normal</x:v>
      </x:c>
      <x:c r="G32" s="121" t="n">
        <x:f>IF($E32="Amânat",0,Setari!$B$6)</x:f>
        <x:v>20</x:v>
      </x:c>
      <x:c r="H32" s="121" t="n">
        <x:f>IF($E32="Amânat",0,Setari!$B$7)</x:f>
        <x:v>15</x:v>
      </x:c>
      <x:c r="I32" s="121" t="n">
        <x:f>IF($E32="Amânat",0,Setari!$B$8)</x:f>
        <x:v>8</x:v>
      </x:c>
      <x:c r="J32" s="121" t="n">
        <x:f>IF($E32="Amânat",0,Setari!$B$9)</x:f>
        <x:v>5</x:v>
      </x:c>
      <x:c r="K32" s="121" t="n">
        <x:f>SUM(G32:J32)</x:f>
        <x:v>48</x:v>
      </x:c>
      <x:c r="L32" s="122" t="n">
        <x:f>K32/60</x:f>
        <x:v>0.8</x:v>
      </x:c>
      <x:c r="M32" s="119" t="str">
        <x:v>2007/varianta_026.md</x:v>
      </x:c>
      <x:c r="N32" s="119" t="str">
        <x:v>2007/varianta_026.pdf</x:v>
      </x:c>
      <x:c r="O32" s="119" t="str">
        <x:v>Nu există în folder</x:v>
      </x:c>
      <x:c r="P32" s="123" t="str"/>
    </x:row>
    <x:row r="33">
      <x:c r="A33" s="118" t="n">
        <x:v>27</x:v>
      </x:c>
      <x:c r="B33" s="119" t="n">
        <x:v>2007</x:v>
      </x:c>
      <x:c r="C33" s="119" t="str">
        <x:v>Testare Națională</x:v>
      </x:c>
      <x:c r="D33" s="119" t="str">
        <x:v>Varianta 027</x:v>
      </x:c>
      <x:c r="E33" s="120" t="str">
        <x:v>Neînceput</x:v>
      </x:c>
      <x:c r="F33" s="120" t="str">
        <x:v>Normal</x:v>
      </x:c>
      <x:c r="G33" s="121" t="n">
        <x:f>IF($E33="Amânat",0,Setari!$B$6)</x:f>
        <x:v>20</x:v>
      </x:c>
      <x:c r="H33" s="121" t="n">
        <x:f>IF($E33="Amânat",0,Setari!$B$7)</x:f>
        <x:v>15</x:v>
      </x:c>
      <x:c r="I33" s="121" t="n">
        <x:f>IF($E33="Amânat",0,Setari!$B$8)</x:f>
        <x:v>8</x:v>
      </x:c>
      <x:c r="J33" s="121" t="n">
        <x:f>IF($E33="Amânat",0,Setari!$B$9)</x:f>
        <x:v>5</x:v>
      </x:c>
      <x:c r="K33" s="121" t="n">
        <x:f>SUM(G33:J33)</x:f>
        <x:v>48</x:v>
      </x:c>
      <x:c r="L33" s="122" t="n">
        <x:f>K33/60</x:f>
        <x:v>0.8</x:v>
      </x:c>
      <x:c r="M33" s="119" t="str">
        <x:v>2007/varianta_027.md</x:v>
      </x:c>
      <x:c r="N33" s="119" t="str">
        <x:v>2007/varianta_027.pdf</x:v>
      </x:c>
      <x:c r="O33" s="119" t="str">
        <x:v>Nu există în folder</x:v>
      </x:c>
      <x:c r="P33" s="123" t="str"/>
    </x:row>
    <x:row r="34">
      <x:c r="A34" s="118" t="n">
        <x:v>28</x:v>
      </x:c>
      <x:c r="B34" s="119" t="n">
        <x:v>2007</x:v>
      </x:c>
      <x:c r="C34" s="119" t="str">
        <x:v>Testare Națională</x:v>
      </x:c>
      <x:c r="D34" s="119" t="str">
        <x:v>Varianta 028</x:v>
      </x:c>
      <x:c r="E34" s="120" t="str">
        <x:v>Neînceput</x:v>
      </x:c>
      <x:c r="F34" s="120" t="str">
        <x:v>Normal</x:v>
      </x:c>
      <x:c r="G34" s="121" t="n">
        <x:f>IF($E34="Amânat",0,Setari!$B$6)</x:f>
        <x:v>20</x:v>
      </x:c>
      <x:c r="H34" s="121" t="n">
        <x:f>IF($E34="Amânat",0,Setari!$B$7)</x:f>
        <x:v>15</x:v>
      </x:c>
      <x:c r="I34" s="121" t="n">
        <x:f>IF($E34="Amânat",0,Setari!$B$8)</x:f>
        <x:v>8</x:v>
      </x:c>
      <x:c r="J34" s="121" t="n">
        <x:f>IF($E34="Amânat",0,Setari!$B$9)</x:f>
        <x:v>5</x:v>
      </x:c>
      <x:c r="K34" s="121" t="n">
        <x:f>SUM(G34:J34)</x:f>
        <x:v>48</x:v>
      </x:c>
      <x:c r="L34" s="122" t="n">
        <x:f>K34/60</x:f>
        <x:v>0.8</x:v>
      </x:c>
      <x:c r="M34" s="119" t="str">
        <x:v>2007/varianta_028.md</x:v>
      </x:c>
      <x:c r="N34" s="119" t="str">
        <x:v>2007/varianta_028.pdf</x:v>
      </x:c>
      <x:c r="O34" s="119" t="str">
        <x:v>Nu există în folder</x:v>
      </x:c>
      <x:c r="P34" s="123" t="str"/>
    </x:row>
    <x:row r="35">
      <x:c r="A35" s="118" t="n">
        <x:v>29</x:v>
      </x:c>
      <x:c r="B35" s="119" t="n">
        <x:v>2007</x:v>
      </x:c>
      <x:c r="C35" s="119" t="str">
        <x:v>Testare Națională</x:v>
      </x:c>
      <x:c r="D35" s="119" t="str">
        <x:v>Varianta 029</x:v>
      </x:c>
      <x:c r="E35" s="120" t="str">
        <x:v>Neînceput</x:v>
      </x:c>
      <x:c r="F35" s="120" t="str">
        <x:v>Normal</x:v>
      </x:c>
      <x:c r="G35" s="121" t="n">
        <x:f>IF($E35="Amânat",0,Setari!$B$6)</x:f>
        <x:v>20</x:v>
      </x:c>
      <x:c r="H35" s="121" t="n">
        <x:f>IF($E35="Amânat",0,Setari!$B$7)</x:f>
        <x:v>15</x:v>
      </x:c>
      <x:c r="I35" s="121" t="n">
        <x:f>IF($E35="Amânat",0,Setari!$B$8)</x:f>
        <x:v>8</x:v>
      </x:c>
      <x:c r="J35" s="121" t="n">
        <x:f>IF($E35="Amânat",0,Setari!$B$9)</x:f>
        <x:v>5</x:v>
      </x:c>
      <x:c r="K35" s="121" t="n">
        <x:f>SUM(G35:J35)</x:f>
        <x:v>48</x:v>
      </x:c>
      <x:c r="L35" s="122" t="n">
        <x:f>K35/60</x:f>
        <x:v>0.8</x:v>
      </x:c>
      <x:c r="M35" s="119" t="str">
        <x:v>2007/varianta_029.md</x:v>
      </x:c>
      <x:c r="N35" s="119" t="str">
        <x:v>2007/varianta_029.pdf</x:v>
      </x:c>
      <x:c r="O35" s="119" t="str">
        <x:v>Nu există în folder</x:v>
      </x:c>
      <x:c r="P35" s="123" t="str"/>
    </x:row>
    <x:row r="36">
      <x:c r="A36" s="118" t="n">
        <x:v>30</x:v>
      </x:c>
      <x:c r="B36" s="119" t="n">
        <x:v>2007</x:v>
      </x:c>
      <x:c r="C36" s="119" t="str">
        <x:v>Testare Națională</x:v>
      </x:c>
      <x:c r="D36" s="119" t="str">
        <x:v>Varianta 030</x:v>
      </x:c>
      <x:c r="E36" s="120" t="str">
        <x:v>Neînceput</x:v>
      </x:c>
      <x:c r="F36" s="120" t="str">
        <x:v>Normal</x:v>
      </x:c>
      <x:c r="G36" s="121" t="n">
        <x:f>IF($E36="Amânat",0,Setari!$B$6)</x:f>
        <x:v>20</x:v>
      </x:c>
      <x:c r="H36" s="121" t="n">
        <x:f>IF($E36="Amânat",0,Setari!$B$7)</x:f>
        <x:v>15</x:v>
      </x:c>
      <x:c r="I36" s="121" t="n">
        <x:f>IF($E36="Amânat",0,Setari!$B$8)</x:f>
        <x:v>8</x:v>
      </x:c>
      <x:c r="J36" s="121" t="n">
        <x:f>IF($E36="Amânat",0,Setari!$B$9)</x:f>
        <x:v>5</x:v>
      </x:c>
      <x:c r="K36" s="121" t="n">
        <x:f>SUM(G36:J36)</x:f>
        <x:v>48</x:v>
      </x:c>
      <x:c r="L36" s="122" t="n">
        <x:f>K36/60</x:f>
        <x:v>0.8</x:v>
      </x:c>
      <x:c r="M36" s="119" t="str">
        <x:v>2007/varianta_030.md</x:v>
      </x:c>
      <x:c r="N36" s="119" t="str">
        <x:v>2007/varianta_030.pdf</x:v>
      </x:c>
      <x:c r="O36" s="119" t="str">
        <x:v>Nu există în folder</x:v>
      </x:c>
      <x:c r="P36" s="123" t="str"/>
    </x:row>
    <x:row r="37">
      <x:c r="A37" s="118" t="n">
        <x:v>31</x:v>
      </x:c>
      <x:c r="B37" s="119" t="n">
        <x:v>2007</x:v>
      </x:c>
      <x:c r="C37" s="119" t="str">
        <x:v>Testare Națională</x:v>
      </x:c>
      <x:c r="D37" s="119" t="str">
        <x:v>Varianta 031</x:v>
      </x:c>
      <x:c r="E37" s="120" t="str">
        <x:v>Neînceput</x:v>
      </x:c>
      <x:c r="F37" s="120" t="str">
        <x:v>Normal</x:v>
      </x:c>
      <x:c r="G37" s="121" t="n">
        <x:f>IF($E37="Amânat",0,Setari!$B$6)</x:f>
        <x:v>20</x:v>
      </x:c>
      <x:c r="H37" s="121" t="n">
        <x:f>IF($E37="Amânat",0,Setari!$B$7)</x:f>
        <x:v>15</x:v>
      </x:c>
      <x:c r="I37" s="121" t="n">
        <x:f>IF($E37="Amânat",0,Setari!$B$8)</x:f>
        <x:v>8</x:v>
      </x:c>
      <x:c r="J37" s="121" t="n">
        <x:f>IF($E37="Amânat",0,Setari!$B$9)</x:f>
        <x:v>5</x:v>
      </x:c>
      <x:c r="K37" s="121" t="n">
        <x:f>SUM(G37:J37)</x:f>
        <x:v>48</x:v>
      </x:c>
      <x:c r="L37" s="122" t="n">
        <x:f>K37/60</x:f>
        <x:v>0.8</x:v>
      </x:c>
      <x:c r="M37" s="119" t="str">
        <x:v>2007/varianta_031.md</x:v>
      </x:c>
      <x:c r="N37" s="119" t="str">
        <x:v>2007/varianta_031.pdf</x:v>
      </x:c>
      <x:c r="O37" s="119" t="str">
        <x:v>Nu există în folder</x:v>
      </x:c>
      <x:c r="P37" s="123" t="str"/>
    </x:row>
    <x:row r="38">
      <x:c r="A38" s="118" t="n">
        <x:v>32</x:v>
      </x:c>
      <x:c r="B38" s="119" t="n">
        <x:v>2007</x:v>
      </x:c>
      <x:c r="C38" s="119" t="str">
        <x:v>Testare Națională</x:v>
      </x:c>
      <x:c r="D38" s="119" t="str">
        <x:v>Varianta 032</x:v>
      </x:c>
      <x:c r="E38" s="120" t="str">
        <x:v>Neînceput</x:v>
      </x:c>
      <x:c r="F38" s="120" t="str">
        <x:v>Normal</x:v>
      </x:c>
      <x:c r="G38" s="121" t="n">
        <x:f>IF($E38="Amânat",0,Setari!$B$6)</x:f>
        <x:v>20</x:v>
      </x:c>
      <x:c r="H38" s="121" t="n">
        <x:f>IF($E38="Amânat",0,Setari!$B$7)</x:f>
        <x:v>15</x:v>
      </x:c>
      <x:c r="I38" s="121" t="n">
        <x:f>IF($E38="Amânat",0,Setari!$B$8)</x:f>
        <x:v>8</x:v>
      </x:c>
      <x:c r="J38" s="121" t="n">
        <x:f>IF($E38="Amânat",0,Setari!$B$9)</x:f>
        <x:v>5</x:v>
      </x:c>
      <x:c r="K38" s="121" t="n">
        <x:f>SUM(G38:J38)</x:f>
        <x:v>48</x:v>
      </x:c>
      <x:c r="L38" s="122" t="n">
        <x:f>K38/60</x:f>
        <x:v>0.8</x:v>
      </x:c>
      <x:c r="M38" s="119" t="str">
        <x:v>2007/varianta_032.md</x:v>
      </x:c>
      <x:c r="N38" s="119" t="str">
        <x:v>2007/varianta_032.pdf</x:v>
      </x:c>
      <x:c r="O38" s="119" t="str">
        <x:v>Nu există în folder</x:v>
      </x:c>
      <x:c r="P38" s="123" t="str"/>
    </x:row>
    <x:row r="39">
      <x:c r="A39" s="118" t="n">
        <x:v>33</x:v>
      </x:c>
      <x:c r="B39" s="119" t="n">
        <x:v>2007</x:v>
      </x:c>
      <x:c r="C39" s="119" t="str">
        <x:v>Testare Națională</x:v>
      </x:c>
      <x:c r="D39" s="119" t="str">
        <x:v>Varianta 033</x:v>
      </x:c>
      <x:c r="E39" s="120" t="str">
        <x:v>Neînceput</x:v>
      </x:c>
      <x:c r="F39" s="120" t="str">
        <x:v>Normal</x:v>
      </x:c>
      <x:c r="G39" s="121" t="n">
        <x:f>IF($E39="Amânat",0,Setari!$B$6)</x:f>
        <x:v>20</x:v>
      </x:c>
      <x:c r="H39" s="121" t="n">
        <x:f>IF($E39="Amânat",0,Setari!$B$7)</x:f>
        <x:v>15</x:v>
      </x:c>
      <x:c r="I39" s="121" t="n">
        <x:f>IF($E39="Amânat",0,Setari!$B$8)</x:f>
        <x:v>8</x:v>
      </x:c>
      <x:c r="J39" s="121" t="n">
        <x:f>IF($E39="Amânat",0,Setari!$B$9)</x:f>
        <x:v>5</x:v>
      </x:c>
      <x:c r="K39" s="121" t="n">
        <x:f>SUM(G39:J39)</x:f>
        <x:v>48</x:v>
      </x:c>
      <x:c r="L39" s="122" t="n">
        <x:f>K39/60</x:f>
        <x:v>0.8</x:v>
      </x:c>
      <x:c r="M39" s="119" t="str">
        <x:v>2007/varianta_033.md</x:v>
      </x:c>
      <x:c r="N39" s="119" t="str">
        <x:v>2007/varianta_033.pdf</x:v>
      </x:c>
      <x:c r="O39" s="119" t="str">
        <x:v>Nu există în folder</x:v>
      </x:c>
      <x:c r="P39" s="123" t="str"/>
    </x:row>
    <x:row r="40">
      <x:c r="A40" s="118" t="n">
        <x:v>34</x:v>
      </x:c>
      <x:c r="B40" s="119" t="n">
        <x:v>2007</x:v>
      </x:c>
      <x:c r="C40" s="119" t="str">
        <x:v>Testare Națională</x:v>
      </x:c>
      <x:c r="D40" s="119" t="str">
        <x:v>Varianta 034</x:v>
      </x:c>
      <x:c r="E40" s="120" t="str">
        <x:v>Neînceput</x:v>
      </x:c>
      <x:c r="F40" s="120" t="str">
        <x:v>Normal</x:v>
      </x:c>
      <x:c r="G40" s="121" t="n">
        <x:f>IF($E40="Amânat",0,Setari!$B$6)</x:f>
        <x:v>20</x:v>
      </x:c>
      <x:c r="H40" s="121" t="n">
        <x:f>IF($E40="Amânat",0,Setari!$B$7)</x:f>
        <x:v>15</x:v>
      </x:c>
      <x:c r="I40" s="121" t="n">
        <x:f>IF($E40="Amânat",0,Setari!$B$8)</x:f>
        <x:v>8</x:v>
      </x:c>
      <x:c r="J40" s="121" t="n">
        <x:f>IF($E40="Amânat",0,Setari!$B$9)</x:f>
        <x:v>5</x:v>
      </x:c>
      <x:c r="K40" s="121" t="n">
        <x:f>SUM(G40:J40)</x:f>
        <x:v>48</x:v>
      </x:c>
      <x:c r="L40" s="122" t="n">
        <x:f>K40/60</x:f>
        <x:v>0.8</x:v>
      </x:c>
      <x:c r="M40" s="119" t="str">
        <x:v>2007/varianta_034.md</x:v>
      </x:c>
      <x:c r="N40" s="119" t="str">
        <x:v>2007/varianta_034.pdf</x:v>
      </x:c>
      <x:c r="O40" s="119" t="str">
        <x:v>Nu există în folder</x:v>
      </x:c>
      <x:c r="P40" s="123" t="str"/>
    </x:row>
    <x:row r="41">
      <x:c r="A41" s="118" t="n">
        <x:v>35</x:v>
      </x:c>
      <x:c r="B41" s="119" t="n">
        <x:v>2007</x:v>
      </x:c>
      <x:c r="C41" s="119" t="str">
        <x:v>Testare Națională</x:v>
      </x:c>
      <x:c r="D41" s="119" t="str">
        <x:v>Varianta 035</x:v>
      </x:c>
      <x:c r="E41" s="120" t="str">
        <x:v>Neînceput</x:v>
      </x:c>
      <x:c r="F41" s="120" t="str">
        <x:v>Normal</x:v>
      </x:c>
      <x:c r="G41" s="121" t="n">
        <x:f>IF($E41="Amânat",0,Setari!$B$6)</x:f>
        <x:v>20</x:v>
      </x:c>
      <x:c r="H41" s="121" t="n">
        <x:f>IF($E41="Amânat",0,Setari!$B$7)</x:f>
        <x:v>15</x:v>
      </x:c>
      <x:c r="I41" s="121" t="n">
        <x:f>IF($E41="Amânat",0,Setari!$B$8)</x:f>
        <x:v>8</x:v>
      </x:c>
      <x:c r="J41" s="121" t="n">
        <x:f>IF($E41="Amânat",0,Setari!$B$9)</x:f>
        <x:v>5</x:v>
      </x:c>
      <x:c r="K41" s="121" t="n">
        <x:f>SUM(G41:J41)</x:f>
        <x:v>48</x:v>
      </x:c>
      <x:c r="L41" s="122" t="n">
        <x:f>K41/60</x:f>
        <x:v>0.8</x:v>
      </x:c>
      <x:c r="M41" s="119" t="str">
        <x:v>2007/varianta_035.md</x:v>
      </x:c>
      <x:c r="N41" s="119" t="str">
        <x:v>2007/varianta_035.pdf</x:v>
      </x:c>
      <x:c r="O41" s="119" t="str">
        <x:v>Nu există în folder</x:v>
      </x:c>
      <x:c r="P41" s="123" t="str"/>
    </x:row>
    <x:row r="42">
      <x:c r="A42" s="118" t="n">
        <x:v>36</x:v>
      </x:c>
      <x:c r="B42" s="119" t="n">
        <x:v>2007</x:v>
      </x:c>
      <x:c r="C42" s="119" t="str">
        <x:v>Testare Națională</x:v>
      </x:c>
      <x:c r="D42" s="119" t="str">
        <x:v>Varianta 036</x:v>
      </x:c>
      <x:c r="E42" s="120" t="str">
        <x:v>Neînceput</x:v>
      </x:c>
      <x:c r="F42" s="120" t="str">
        <x:v>Normal</x:v>
      </x:c>
      <x:c r="G42" s="121" t="n">
        <x:f>IF($E42="Amânat",0,Setari!$B$6)</x:f>
        <x:v>20</x:v>
      </x:c>
      <x:c r="H42" s="121" t="n">
        <x:f>IF($E42="Amânat",0,Setari!$B$7)</x:f>
        <x:v>15</x:v>
      </x:c>
      <x:c r="I42" s="121" t="n">
        <x:f>IF($E42="Amânat",0,Setari!$B$8)</x:f>
        <x:v>8</x:v>
      </x:c>
      <x:c r="J42" s="121" t="n">
        <x:f>IF($E42="Amânat",0,Setari!$B$9)</x:f>
        <x:v>5</x:v>
      </x:c>
      <x:c r="K42" s="121" t="n">
        <x:f>SUM(G42:J42)</x:f>
        <x:v>48</x:v>
      </x:c>
      <x:c r="L42" s="122" t="n">
        <x:f>K42/60</x:f>
        <x:v>0.8</x:v>
      </x:c>
      <x:c r="M42" s="119" t="str">
        <x:v>2007/varianta_036.md</x:v>
      </x:c>
      <x:c r="N42" s="119" t="str">
        <x:v>2007/varianta_036.pdf</x:v>
      </x:c>
      <x:c r="O42" s="119" t="str">
        <x:v>Nu există în folder</x:v>
      </x:c>
      <x:c r="P42" s="123" t="str"/>
    </x:row>
    <x:row r="43">
      <x:c r="A43" s="118" t="n">
        <x:v>37</x:v>
      </x:c>
      <x:c r="B43" s="119" t="n">
        <x:v>2007</x:v>
      </x:c>
      <x:c r="C43" s="119" t="str">
        <x:v>Testare Națională</x:v>
      </x:c>
      <x:c r="D43" s="119" t="str">
        <x:v>Varianta 037</x:v>
      </x:c>
      <x:c r="E43" s="120" t="str">
        <x:v>Neînceput</x:v>
      </x:c>
      <x:c r="F43" s="120" t="str">
        <x:v>Normal</x:v>
      </x:c>
      <x:c r="G43" s="121" t="n">
        <x:f>IF($E43="Amânat",0,Setari!$B$6)</x:f>
        <x:v>20</x:v>
      </x:c>
      <x:c r="H43" s="121" t="n">
        <x:f>IF($E43="Amânat",0,Setari!$B$7)</x:f>
        <x:v>15</x:v>
      </x:c>
      <x:c r="I43" s="121" t="n">
        <x:f>IF($E43="Amânat",0,Setari!$B$8)</x:f>
        <x:v>8</x:v>
      </x:c>
      <x:c r="J43" s="121" t="n">
        <x:f>IF($E43="Amânat",0,Setari!$B$9)</x:f>
        <x:v>5</x:v>
      </x:c>
      <x:c r="K43" s="121" t="n">
        <x:f>SUM(G43:J43)</x:f>
        <x:v>48</x:v>
      </x:c>
      <x:c r="L43" s="122" t="n">
        <x:f>K43/60</x:f>
        <x:v>0.8</x:v>
      </x:c>
      <x:c r="M43" s="119" t="str">
        <x:v>2007/varianta_037.md</x:v>
      </x:c>
      <x:c r="N43" s="119" t="str">
        <x:v>2007/varianta_037.pdf</x:v>
      </x:c>
      <x:c r="O43" s="119" t="str">
        <x:v>Nu există în folder</x:v>
      </x:c>
      <x:c r="P43" s="123" t="str"/>
    </x:row>
    <x:row r="44">
      <x:c r="A44" s="118" t="n">
        <x:v>38</x:v>
      </x:c>
      <x:c r="B44" s="119" t="n">
        <x:v>2007</x:v>
      </x:c>
      <x:c r="C44" s="119" t="str">
        <x:v>Testare Națională</x:v>
      </x:c>
      <x:c r="D44" s="119" t="str">
        <x:v>Varianta 038</x:v>
      </x:c>
      <x:c r="E44" s="120" t="str">
        <x:v>Neînceput</x:v>
      </x:c>
      <x:c r="F44" s="120" t="str">
        <x:v>Normal</x:v>
      </x:c>
      <x:c r="G44" s="121" t="n">
        <x:f>IF($E44="Amânat",0,Setari!$B$6)</x:f>
        <x:v>20</x:v>
      </x:c>
      <x:c r="H44" s="121" t="n">
        <x:f>IF($E44="Amânat",0,Setari!$B$7)</x:f>
        <x:v>15</x:v>
      </x:c>
      <x:c r="I44" s="121" t="n">
        <x:f>IF($E44="Amânat",0,Setari!$B$8)</x:f>
        <x:v>8</x:v>
      </x:c>
      <x:c r="J44" s="121" t="n">
        <x:f>IF($E44="Amânat",0,Setari!$B$9)</x:f>
        <x:v>5</x:v>
      </x:c>
      <x:c r="K44" s="121" t="n">
        <x:f>SUM(G44:J44)</x:f>
        <x:v>48</x:v>
      </x:c>
      <x:c r="L44" s="122" t="n">
        <x:f>K44/60</x:f>
        <x:v>0.8</x:v>
      </x:c>
      <x:c r="M44" s="119" t="str">
        <x:v>2007/varianta_038.md</x:v>
      </x:c>
      <x:c r="N44" s="119" t="str">
        <x:v>2007/varianta_038.pdf</x:v>
      </x:c>
      <x:c r="O44" s="119" t="str">
        <x:v>Nu există în folder</x:v>
      </x:c>
      <x:c r="P44" s="123" t="str"/>
    </x:row>
    <x:row r="45">
      <x:c r="A45" s="118" t="n">
        <x:v>39</x:v>
      </x:c>
      <x:c r="B45" s="119" t="n">
        <x:v>2007</x:v>
      </x:c>
      <x:c r="C45" s="119" t="str">
        <x:v>Testare Națională</x:v>
      </x:c>
      <x:c r="D45" s="119" t="str">
        <x:v>Varianta 039</x:v>
      </x:c>
      <x:c r="E45" s="120" t="str">
        <x:v>Neînceput</x:v>
      </x:c>
      <x:c r="F45" s="120" t="str">
        <x:v>Normal</x:v>
      </x:c>
      <x:c r="G45" s="121" t="n">
        <x:f>IF($E45="Amânat",0,Setari!$B$6)</x:f>
        <x:v>20</x:v>
      </x:c>
      <x:c r="H45" s="121" t="n">
        <x:f>IF($E45="Amânat",0,Setari!$B$7)</x:f>
        <x:v>15</x:v>
      </x:c>
      <x:c r="I45" s="121" t="n">
        <x:f>IF($E45="Amânat",0,Setari!$B$8)</x:f>
        <x:v>8</x:v>
      </x:c>
      <x:c r="J45" s="121" t="n">
        <x:f>IF($E45="Amânat",0,Setari!$B$9)</x:f>
        <x:v>5</x:v>
      </x:c>
      <x:c r="K45" s="121" t="n">
        <x:f>SUM(G45:J45)</x:f>
        <x:v>48</x:v>
      </x:c>
      <x:c r="L45" s="122" t="n">
        <x:f>K45/60</x:f>
        <x:v>0.8</x:v>
      </x:c>
      <x:c r="M45" s="119" t="str">
        <x:v>2007/varianta_039.md</x:v>
      </x:c>
      <x:c r="N45" s="119" t="str">
        <x:v>2007/varianta_039.pdf</x:v>
      </x:c>
      <x:c r="O45" s="119" t="str">
        <x:v>Nu există în folder</x:v>
      </x:c>
      <x:c r="P45" s="123" t="str"/>
    </x:row>
    <x:row r="46">
      <x:c r="A46" s="118" t="n">
        <x:v>40</x:v>
      </x:c>
      <x:c r="B46" s="119" t="n">
        <x:v>2007</x:v>
      </x:c>
      <x:c r="C46" s="119" t="str">
        <x:v>Testare Națională</x:v>
      </x:c>
      <x:c r="D46" s="119" t="str">
        <x:v>Varianta 040</x:v>
      </x:c>
      <x:c r="E46" s="120" t="str">
        <x:v>Neînceput</x:v>
      </x:c>
      <x:c r="F46" s="120" t="str">
        <x:v>Normal</x:v>
      </x:c>
      <x:c r="G46" s="121" t="n">
        <x:f>IF($E46="Amânat",0,Setari!$B$6)</x:f>
        <x:v>20</x:v>
      </x:c>
      <x:c r="H46" s="121" t="n">
        <x:f>IF($E46="Amânat",0,Setari!$B$7)</x:f>
        <x:v>15</x:v>
      </x:c>
      <x:c r="I46" s="121" t="n">
        <x:f>IF($E46="Amânat",0,Setari!$B$8)</x:f>
        <x:v>8</x:v>
      </x:c>
      <x:c r="J46" s="121" t="n">
        <x:f>IF($E46="Amânat",0,Setari!$B$9)</x:f>
        <x:v>5</x:v>
      </x:c>
      <x:c r="K46" s="121" t="n">
        <x:f>SUM(G46:J46)</x:f>
        <x:v>48</x:v>
      </x:c>
      <x:c r="L46" s="122" t="n">
        <x:f>K46/60</x:f>
        <x:v>0.8</x:v>
      </x:c>
      <x:c r="M46" s="119" t="str">
        <x:v>2007/varianta_040.md</x:v>
      </x:c>
      <x:c r="N46" s="119" t="str">
        <x:v>2007/varianta_040.pdf</x:v>
      </x:c>
      <x:c r="O46" s="119" t="str">
        <x:v>Nu există în folder</x:v>
      </x:c>
      <x:c r="P46" s="123" t="str"/>
    </x:row>
    <x:row r="47">
      <x:c r="A47" s="118" t="n">
        <x:v>41</x:v>
      </x:c>
      <x:c r="B47" s="119" t="n">
        <x:v>2007</x:v>
      </x:c>
      <x:c r="C47" s="119" t="str">
        <x:v>Testare Națională</x:v>
      </x:c>
      <x:c r="D47" s="119" t="str">
        <x:v>Varianta 041</x:v>
      </x:c>
      <x:c r="E47" s="120" t="str">
        <x:v>Neînceput</x:v>
      </x:c>
      <x:c r="F47" s="120" t="str">
        <x:v>Normal</x:v>
      </x:c>
      <x:c r="G47" s="121" t="n">
        <x:f>IF($E47="Amânat",0,Setari!$B$6)</x:f>
        <x:v>20</x:v>
      </x:c>
      <x:c r="H47" s="121" t="n">
        <x:f>IF($E47="Amânat",0,Setari!$B$7)</x:f>
        <x:v>15</x:v>
      </x:c>
      <x:c r="I47" s="121" t="n">
        <x:f>IF($E47="Amânat",0,Setari!$B$8)</x:f>
        <x:v>8</x:v>
      </x:c>
      <x:c r="J47" s="121" t="n">
        <x:f>IF($E47="Amânat",0,Setari!$B$9)</x:f>
        <x:v>5</x:v>
      </x:c>
      <x:c r="K47" s="121" t="n">
        <x:f>SUM(G47:J47)</x:f>
        <x:v>48</x:v>
      </x:c>
      <x:c r="L47" s="122" t="n">
        <x:f>K47/60</x:f>
        <x:v>0.8</x:v>
      </x:c>
      <x:c r="M47" s="119" t="str">
        <x:v>2007/varianta_041.md</x:v>
      </x:c>
      <x:c r="N47" s="119" t="str">
        <x:v>2007/varianta_041.pdf</x:v>
      </x:c>
      <x:c r="O47" s="119" t="str">
        <x:v>Nu există în folder</x:v>
      </x:c>
      <x:c r="P47" s="123" t="str"/>
    </x:row>
    <x:row r="48">
      <x:c r="A48" s="118" t="n">
        <x:v>42</x:v>
      </x:c>
      <x:c r="B48" s="119" t="n">
        <x:v>2007</x:v>
      </x:c>
      <x:c r="C48" s="119" t="str">
        <x:v>Testare Națională</x:v>
      </x:c>
      <x:c r="D48" s="119" t="str">
        <x:v>Varianta 042</x:v>
      </x:c>
      <x:c r="E48" s="120" t="str">
        <x:v>Neînceput</x:v>
      </x:c>
      <x:c r="F48" s="120" t="str">
        <x:v>Normal</x:v>
      </x:c>
      <x:c r="G48" s="121" t="n">
        <x:f>IF($E48="Amânat",0,Setari!$B$6)</x:f>
        <x:v>20</x:v>
      </x:c>
      <x:c r="H48" s="121" t="n">
        <x:f>IF($E48="Amânat",0,Setari!$B$7)</x:f>
        <x:v>15</x:v>
      </x:c>
      <x:c r="I48" s="121" t="n">
        <x:f>IF($E48="Amânat",0,Setari!$B$8)</x:f>
        <x:v>8</x:v>
      </x:c>
      <x:c r="J48" s="121" t="n">
        <x:f>IF($E48="Amânat",0,Setari!$B$9)</x:f>
        <x:v>5</x:v>
      </x:c>
      <x:c r="K48" s="121" t="n">
        <x:f>SUM(G48:J48)</x:f>
        <x:v>48</x:v>
      </x:c>
      <x:c r="L48" s="122" t="n">
        <x:f>K48/60</x:f>
        <x:v>0.8</x:v>
      </x:c>
      <x:c r="M48" s="119" t="str">
        <x:v>2007/varianta_042.md</x:v>
      </x:c>
      <x:c r="N48" s="119" t="str">
        <x:v>2007/varianta_042.pdf</x:v>
      </x:c>
      <x:c r="O48" s="119" t="str">
        <x:v>Nu există în folder</x:v>
      </x:c>
      <x:c r="P48" s="123" t="str"/>
    </x:row>
    <x:row r="49">
      <x:c r="A49" s="118" t="n">
        <x:v>43</x:v>
      </x:c>
      <x:c r="B49" s="119" t="n">
        <x:v>2007</x:v>
      </x:c>
      <x:c r="C49" s="119" t="str">
        <x:v>Testare Națională</x:v>
      </x:c>
      <x:c r="D49" s="119" t="str">
        <x:v>Varianta 043</x:v>
      </x:c>
      <x:c r="E49" s="120" t="str">
        <x:v>Neînceput</x:v>
      </x:c>
      <x:c r="F49" s="120" t="str">
        <x:v>Normal</x:v>
      </x:c>
      <x:c r="G49" s="121" t="n">
        <x:f>IF($E49="Amânat",0,Setari!$B$6)</x:f>
        <x:v>20</x:v>
      </x:c>
      <x:c r="H49" s="121" t="n">
        <x:f>IF($E49="Amânat",0,Setari!$B$7)</x:f>
        <x:v>15</x:v>
      </x:c>
      <x:c r="I49" s="121" t="n">
        <x:f>IF($E49="Amânat",0,Setari!$B$8)</x:f>
        <x:v>8</x:v>
      </x:c>
      <x:c r="J49" s="121" t="n">
        <x:f>IF($E49="Amânat",0,Setari!$B$9)</x:f>
        <x:v>5</x:v>
      </x:c>
      <x:c r="K49" s="121" t="n">
        <x:f>SUM(G49:J49)</x:f>
        <x:v>48</x:v>
      </x:c>
      <x:c r="L49" s="122" t="n">
        <x:f>K49/60</x:f>
        <x:v>0.8</x:v>
      </x:c>
      <x:c r="M49" s="119" t="str">
        <x:v>2007/varianta_043.md</x:v>
      </x:c>
      <x:c r="N49" s="119" t="str">
        <x:v>2007/varianta_043.pdf</x:v>
      </x:c>
      <x:c r="O49" s="119" t="str">
        <x:v>Nu există în folder</x:v>
      </x:c>
      <x:c r="P49" s="123" t="str"/>
    </x:row>
    <x:row r="50">
      <x:c r="A50" s="118" t="n">
        <x:v>44</x:v>
      </x:c>
      <x:c r="B50" s="119" t="n">
        <x:v>2007</x:v>
      </x:c>
      <x:c r="C50" s="119" t="str">
        <x:v>Testare Națională</x:v>
      </x:c>
      <x:c r="D50" s="119" t="str">
        <x:v>Varianta 044</x:v>
      </x:c>
      <x:c r="E50" s="120" t="str">
        <x:v>Neînceput</x:v>
      </x:c>
      <x:c r="F50" s="120" t="str">
        <x:v>Normal</x:v>
      </x:c>
      <x:c r="G50" s="121" t="n">
        <x:f>IF($E50="Amânat",0,Setari!$B$6)</x:f>
        <x:v>20</x:v>
      </x:c>
      <x:c r="H50" s="121" t="n">
        <x:f>IF($E50="Amânat",0,Setari!$B$7)</x:f>
        <x:v>15</x:v>
      </x:c>
      <x:c r="I50" s="121" t="n">
        <x:f>IF($E50="Amânat",0,Setari!$B$8)</x:f>
        <x:v>8</x:v>
      </x:c>
      <x:c r="J50" s="121" t="n">
        <x:f>IF($E50="Amânat",0,Setari!$B$9)</x:f>
        <x:v>5</x:v>
      </x:c>
      <x:c r="K50" s="121" t="n">
        <x:f>SUM(G50:J50)</x:f>
        <x:v>48</x:v>
      </x:c>
      <x:c r="L50" s="122" t="n">
        <x:f>K50/60</x:f>
        <x:v>0.8</x:v>
      </x:c>
      <x:c r="M50" s="119" t="str">
        <x:v>2007/varianta_044.md</x:v>
      </x:c>
      <x:c r="N50" s="119" t="str">
        <x:v>2007/varianta_044.pdf</x:v>
      </x:c>
      <x:c r="O50" s="119" t="str">
        <x:v>Nu există în folder</x:v>
      </x:c>
      <x:c r="P50" s="123" t="str"/>
    </x:row>
    <x:row r="51">
      <x:c r="A51" s="118" t="n">
        <x:v>45</x:v>
      </x:c>
      <x:c r="B51" s="119" t="n">
        <x:v>2007</x:v>
      </x:c>
      <x:c r="C51" s="119" t="str">
        <x:v>Testare Națională</x:v>
      </x:c>
      <x:c r="D51" s="119" t="str">
        <x:v>Varianta 045</x:v>
      </x:c>
      <x:c r="E51" s="120" t="str">
        <x:v>Neînceput</x:v>
      </x:c>
      <x:c r="F51" s="120" t="str">
        <x:v>Normal</x:v>
      </x:c>
      <x:c r="G51" s="121" t="n">
        <x:f>IF($E51="Amânat",0,Setari!$B$6)</x:f>
        <x:v>20</x:v>
      </x:c>
      <x:c r="H51" s="121" t="n">
        <x:f>IF($E51="Amânat",0,Setari!$B$7)</x:f>
        <x:v>15</x:v>
      </x:c>
      <x:c r="I51" s="121" t="n">
        <x:f>IF($E51="Amânat",0,Setari!$B$8)</x:f>
        <x:v>8</x:v>
      </x:c>
      <x:c r="J51" s="121" t="n">
        <x:f>IF($E51="Amânat",0,Setari!$B$9)</x:f>
        <x:v>5</x:v>
      </x:c>
      <x:c r="K51" s="121" t="n">
        <x:f>SUM(G51:J51)</x:f>
        <x:v>48</x:v>
      </x:c>
      <x:c r="L51" s="122" t="n">
        <x:f>K51/60</x:f>
        <x:v>0.8</x:v>
      </x:c>
      <x:c r="M51" s="119" t="str">
        <x:v>2007/varianta_045.md</x:v>
      </x:c>
      <x:c r="N51" s="119" t="str">
        <x:v>2007/varianta_045.pdf</x:v>
      </x:c>
      <x:c r="O51" s="119" t="str">
        <x:v>Nu există în folder</x:v>
      </x:c>
      <x:c r="P51" s="123" t="str"/>
    </x:row>
    <x:row r="52">
      <x:c r="A52" s="118" t="n">
        <x:v>46</x:v>
      </x:c>
      <x:c r="B52" s="119" t="n">
        <x:v>2007</x:v>
      </x:c>
      <x:c r="C52" s="119" t="str">
        <x:v>Testare Națională</x:v>
      </x:c>
      <x:c r="D52" s="119" t="str">
        <x:v>Varianta 046</x:v>
      </x:c>
      <x:c r="E52" s="120" t="str">
        <x:v>Neînceput</x:v>
      </x:c>
      <x:c r="F52" s="120" t="str">
        <x:v>Normal</x:v>
      </x:c>
      <x:c r="G52" s="121" t="n">
        <x:f>IF($E52="Amânat",0,Setari!$B$6)</x:f>
        <x:v>20</x:v>
      </x:c>
      <x:c r="H52" s="121" t="n">
        <x:f>IF($E52="Amânat",0,Setari!$B$7)</x:f>
        <x:v>15</x:v>
      </x:c>
      <x:c r="I52" s="121" t="n">
        <x:f>IF($E52="Amânat",0,Setari!$B$8)</x:f>
        <x:v>8</x:v>
      </x:c>
      <x:c r="J52" s="121" t="n">
        <x:f>IF($E52="Amânat",0,Setari!$B$9)</x:f>
        <x:v>5</x:v>
      </x:c>
      <x:c r="K52" s="121" t="n">
        <x:f>SUM(G52:J52)</x:f>
        <x:v>48</x:v>
      </x:c>
      <x:c r="L52" s="122" t="n">
        <x:f>K52/60</x:f>
        <x:v>0.8</x:v>
      </x:c>
      <x:c r="M52" s="119" t="str">
        <x:v>2007/varianta_046.md</x:v>
      </x:c>
      <x:c r="N52" s="119" t="str">
        <x:v>2007/varianta_046.pdf</x:v>
      </x:c>
      <x:c r="O52" s="119" t="str">
        <x:v>Nu există în folder</x:v>
      </x:c>
      <x:c r="P52" s="123" t="str"/>
    </x:row>
    <x:row r="53">
      <x:c r="A53" s="118" t="n">
        <x:v>47</x:v>
      </x:c>
      <x:c r="B53" s="119" t="n">
        <x:v>2007</x:v>
      </x:c>
      <x:c r="C53" s="119" t="str">
        <x:v>Testare Națională</x:v>
      </x:c>
      <x:c r="D53" s="119" t="str">
        <x:v>Varianta 047</x:v>
      </x:c>
      <x:c r="E53" s="120" t="str">
        <x:v>Neînceput</x:v>
      </x:c>
      <x:c r="F53" s="120" t="str">
        <x:v>Normal</x:v>
      </x:c>
      <x:c r="G53" s="121" t="n">
        <x:f>IF($E53="Amânat",0,Setari!$B$6)</x:f>
        <x:v>20</x:v>
      </x:c>
      <x:c r="H53" s="121" t="n">
        <x:f>IF($E53="Amânat",0,Setari!$B$7)</x:f>
        <x:v>15</x:v>
      </x:c>
      <x:c r="I53" s="121" t="n">
        <x:f>IF($E53="Amânat",0,Setari!$B$8)</x:f>
        <x:v>8</x:v>
      </x:c>
      <x:c r="J53" s="121" t="n">
        <x:f>IF($E53="Amânat",0,Setari!$B$9)</x:f>
        <x:v>5</x:v>
      </x:c>
      <x:c r="K53" s="121" t="n">
        <x:f>SUM(G53:J53)</x:f>
        <x:v>48</x:v>
      </x:c>
      <x:c r="L53" s="122" t="n">
        <x:f>K53/60</x:f>
        <x:v>0.8</x:v>
      </x:c>
      <x:c r="M53" s="119" t="str">
        <x:v>2007/varianta_047.md</x:v>
      </x:c>
      <x:c r="N53" s="119" t="str">
        <x:v>2007/varianta_047.pdf</x:v>
      </x:c>
      <x:c r="O53" s="119" t="str">
        <x:v>Nu există în folder</x:v>
      </x:c>
      <x:c r="P53" s="123" t="str"/>
    </x:row>
    <x:row r="54">
      <x:c r="A54" s="118" t="n">
        <x:v>48</x:v>
      </x:c>
      <x:c r="B54" s="119" t="n">
        <x:v>2007</x:v>
      </x:c>
      <x:c r="C54" s="119" t="str">
        <x:v>Testare Națională</x:v>
      </x:c>
      <x:c r="D54" s="119" t="str">
        <x:v>Varianta 048</x:v>
      </x:c>
      <x:c r="E54" s="120" t="str">
        <x:v>Neînceput</x:v>
      </x:c>
      <x:c r="F54" s="120" t="str">
        <x:v>Normal</x:v>
      </x:c>
      <x:c r="G54" s="121" t="n">
        <x:f>IF($E54="Amânat",0,Setari!$B$6)</x:f>
        <x:v>20</x:v>
      </x:c>
      <x:c r="H54" s="121" t="n">
        <x:f>IF($E54="Amânat",0,Setari!$B$7)</x:f>
        <x:v>15</x:v>
      </x:c>
      <x:c r="I54" s="121" t="n">
        <x:f>IF($E54="Amânat",0,Setari!$B$8)</x:f>
        <x:v>8</x:v>
      </x:c>
      <x:c r="J54" s="121" t="n">
        <x:f>IF($E54="Amânat",0,Setari!$B$9)</x:f>
        <x:v>5</x:v>
      </x:c>
      <x:c r="K54" s="121" t="n">
        <x:f>SUM(G54:J54)</x:f>
        <x:v>48</x:v>
      </x:c>
      <x:c r="L54" s="122" t="n">
        <x:f>K54/60</x:f>
        <x:v>0.8</x:v>
      </x:c>
      <x:c r="M54" s="119" t="str">
        <x:v>2007/varianta_048.md</x:v>
      </x:c>
      <x:c r="N54" s="119" t="str">
        <x:v>2007/varianta_048.pdf</x:v>
      </x:c>
      <x:c r="O54" s="119" t="str">
        <x:v>Nu există în folder</x:v>
      </x:c>
      <x:c r="P54" s="123" t="str"/>
    </x:row>
    <x:row r="55">
      <x:c r="A55" s="118" t="n">
        <x:v>49</x:v>
      </x:c>
      <x:c r="B55" s="119" t="n">
        <x:v>2007</x:v>
      </x:c>
      <x:c r="C55" s="119" t="str">
        <x:v>Testare Națională</x:v>
      </x:c>
      <x:c r="D55" s="119" t="str">
        <x:v>Varianta 049</x:v>
      </x:c>
      <x:c r="E55" s="120" t="str">
        <x:v>Neînceput</x:v>
      </x:c>
      <x:c r="F55" s="120" t="str">
        <x:v>Normal</x:v>
      </x:c>
      <x:c r="G55" s="121" t="n">
        <x:f>IF($E55="Amânat",0,Setari!$B$6)</x:f>
        <x:v>20</x:v>
      </x:c>
      <x:c r="H55" s="121" t="n">
        <x:f>IF($E55="Amânat",0,Setari!$B$7)</x:f>
        <x:v>15</x:v>
      </x:c>
      <x:c r="I55" s="121" t="n">
        <x:f>IF($E55="Amânat",0,Setari!$B$8)</x:f>
        <x:v>8</x:v>
      </x:c>
      <x:c r="J55" s="121" t="n">
        <x:f>IF($E55="Amânat",0,Setari!$B$9)</x:f>
        <x:v>5</x:v>
      </x:c>
      <x:c r="K55" s="121" t="n">
        <x:f>SUM(G55:J55)</x:f>
        <x:v>48</x:v>
      </x:c>
      <x:c r="L55" s="122" t="n">
        <x:f>K55/60</x:f>
        <x:v>0.8</x:v>
      </x:c>
      <x:c r="M55" s="119" t="str">
        <x:v>2007/varianta_049.md</x:v>
      </x:c>
      <x:c r="N55" s="119" t="str">
        <x:v>2007/varianta_049.pdf</x:v>
      </x:c>
      <x:c r="O55" s="119" t="str">
        <x:v>Nu există în folder</x:v>
      </x:c>
      <x:c r="P55" s="123" t="str"/>
    </x:row>
    <x:row r="56">
      <x:c r="A56" s="118" t="n">
        <x:v>50</x:v>
      </x:c>
      <x:c r="B56" s="119" t="n">
        <x:v>2007</x:v>
      </x:c>
      <x:c r="C56" s="119" t="str">
        <x:v>Testare Națională</x:v>
      </x:c>
      <x:c r="D56" s="119" t="str">
        <x:v>Varianta 050</x:v>
      </x:c>
      <x:c r="E56" s="120" t="str">
        <x:v>Neînceput</x:v>
      </x:c>
      <x:c r="F56" s="120" t="str">
        <x:v>Normal</x:v>
      </x:c>
      <x:c r="G56" s="121" t="n">
        <x:f>IF($E56="Amânat",0,Setari!$B$6)</x:f>
        <x:v>20</x:v>
      </x:c>
      <x:c r="H56" s="121" t="n">
        <x:f>IF($E56="Amânat",0,Setari!$B$7)</x:f>
        <x:v>15</x:v>
      </x:c>
      <x:c r="I56" s="121" t="n">
        <x:f>IF($E56="Amânat",0,Setari!$B$8)</x:f>
        <x:v>8</x:v>
      </x:c>
      <x:c r="J56" s="121" t="n">
        <x:f>IF($E56="Amânat",0,Setari!$B$9)</x:f>
        <x:v>5</x:v>
      </x:c>
      <x:c r="K56" s="121" t="n">
        <x:f>SUM(G56:J56)</x:f>
        <x:v>48</x:v>
      </x:c>
      <x:c r="L56" s="122" t="n">
        <x:f>K56/60</x:f>
        <x:v>0.8</x:v>
      </x:c>
      <x:c r="M56" s="119" t="str">
        <x:v>2007/varianta_050.md</x:v>
      </x:c>
      <x:c r="N56" s="119" t="str">
        <x:v>2007/varianta_050.pdf</x:v>
      </x:c>
      <x:c r="O56" s="119" t="str">
        <x:v>Nu există în folder</x:v>
      </x:c>
      <x:c r="P56" s="123" t="str"/>
    </x:row>
    <x:row r="57">
      <x:c r="A57" s="118" t="n">
        <x:v>51</x:v>
      </x:c>
      <x:c r="B57" s="119" t="n">
        <x:v>2007</x:v>
      </x:c>
      <x:c r="C57" s="119" t="str">
        <x:v>Testare Națională</x:v>
      </x:c>
      <x:c r="D57" s="119" t="str">
        <x:v>Varianta 051</x:v>
      </x:c>
      <x:c r="E57" s="120" t="str">
        <x:v>Neînceput</x:v>
      </x:c>
      <x:c r="F57" s="120" t="str">
        <x:v>Normal</x:v>
      </x:c>
      <x:c r="G57" s="121" t="n">
        <x:f>IF($E57="Amânat",0,Setari!$B$6)</x:f>
        <x:v>20</x:v>
      </x:c>
      <x:c r="H57" s="121" t="n">
        <x:f>IF($E57="Amânat",0,Setari!$B$7)</x:f>
        <x:v>15</x:v>
      </x:c>
      <x:c r="I57" s="121" t="n">
        <x:f>IF($E57="Amânat",0,Setari!$B$8)</x:f>
        <x:v>8</x:v>
      </x:c>
      <x:c r="J57" s="121" t="n">
        <x:f>IF($E57="Amânat",0,Setari!$B$9)</x:f>
        <x:v>5</x:v>
      </x:c>
      <x:c r="K57" s="121" t="n">
        <x:f>SUM(G57:J57)</x:f>
        <x:v>48</x:v>
      </x:c>
      <x:c r="L57" s="122" t="n">
        <x:f>K57/60</x:f>
        <x:v>0.8</x:v>
      </x:c>
      <x:c r="M57" s="119" t="str">
        <x:v>2007/varianta_051.md</x:v>
      </x:c>
      <x:c r="N57" s="119" t="str">
        <x:v>2007/varianta_051.pdf</x:v>
      </x:c>
      <x:c r="O57" s="119" t="str">
        <x:v>Nu există în folder</x:v>
      </x:c>
      <x:c r="P57" s="123" t="str"/>
    </x:row>
    <x:row r="58">
      <x:c r="A58" s="118" t="n">
        <x:v>52</x:v>
      </x:c>
      <x:c r="B58" s="119" t="n">
        <x:v>2007</x:v>
      </x:c>
      <x:c r="C58" s="119" t="str">
        <x:v>Testare Națională</x:v>
      </x:c>
      <x:c r="D58" s="119" t="str">
        <x:v>Varianta 052</x:v>
      </x:c>
      <x:c r="E58" s="120" t="str">
        <x:v>Neînceput</x:v>
      </x:c>
      <x:c r="F58" s="120" t="str">
        <x:v>Normal</x:v>
      </x:c>
      <x:c r="G58" s="121" t="n">
        <x:f>IF($E58="Amânat",0,Setari!$B$6)</x:f>
        <x:v>20</x:v>
      </x:c>
      <x:c r="H58" s="121" t="n">
        <x:f>IF($E58="Amânat",0,Setari!$B$7)</x:f>
        <x:v>15</x:v>
      </x:c>
      <x:c r="I58" s="121" t="n">
        <x:f>IF($E58="Amânat",0,Setari!$B$8)</x:f>
        <x:v>8</x:v>
      </x:c>
      <x:c r="J58" s="121" t="n">
        <x:f>IF($E58="Amânat",0,Setari!$B$9)</x:f>
        <x:v>5</x:v>
      </x:c>
      <x:c r="K58" s="121" t="n">
        <x:f>SUM(G58:J58)</x:f>
        <x:v>48</x:v>
      </x:c>
      <x:c r="L58" s="122" t="n">
        <x:f>K58/60</x:f>
        <x:v>0.8</x:v>
      </x:c>
      <x:c r="M58" s="119" t="str">
        <x:v>2007/varianta_052.md</x:v>
      </x:c>
      <x:c r="N58" s="119" t="str">
        <x:v>2007/varianta_052.pdf</x:v>
      </x:c>
      <x:c r="O58" s="119" t="str">
        <x:v>Nu există în folder</x:v>
      </x:c>
      <x:c r="P58" s="123" t="str"/>
    </x:row>
    <x:row r="59">
      <x:c r="A59" s="118" t="n">
        <x:v>53</x:v>
      </x:c>
      <x:c r="B59" s="119" t="n">
        <x:v>2007</x:v>
      </x:c>
      <x:c r="C59" s="119" t="str">
        <x:v>Testare Națională</x:v>
      </x:c>
      <x:c r="D59" s="119" t="str">
        <x:v>Varianta 053</x:v>
      </x:c>
      <x:c r="E59" s="120" t="str">
        <x:v>Neînceput</x:v>
      </x:c>
      <x:c r="F59" s="120" t="str">
        <x:v>Normal</x:v>
      </x:c>
      <x:c r="G59" s="121" t="n">
        <x:f>IF($E59="Amânat",0,Setari!$B$6)</x:f>
        <x:v>20</x:v>
      </x:c>
      <x:c r="H59" s="121" t="n">
        <x:f>IF($E59="Amânat",0,Setari!$B$7)</x:f>
        <x:v>15</x:v>
      </x:c>
      <x:c r="I59" s="121" t="n">
        <x:f>IF($E59="Amânat",0,Setari!$B$8)</x:f>
        <x:v>8</x:v>
      </x:c>
      <x:c r="J59" s="121" t="n">
        <x:f>IF($E59="Amânat",0,Setari!$B$9)</x:f>
        <x:v>5</x:v>
      </x:c>
      <x:c r="K59" s="121" t="n">
        <x:f>SUM(G59:J59)</x:f>
        <x:v>48</x:v>
      </x:c>
      <x:c r="L59" s="122" t="n">
        <x:f>K59/60</x:f>
        <x:v>0.8</x:v>
      </x:c>
      <x:c r="M59" s="119" t="str">
        <x:v>2007/varianta_053.md</x:v>
      </x:c>
      <x:c r="N59" s="119" t="str">
        <x:v>2007/varianta_053.pdf</x:v>
      </x:c>
      <x:c r="O59" s="119" t="str">
        <x:v>Nu există în folder</x:v>
      </x:c>
      <x:c r="P59" s="123" t="str"/>
    </x:row>
    <x:row r="60">
      <x:c r="A60" s="118" t="n">
        <x:v>54</x:v>
      </x:c>
      <x:c r="B60" s="119" t="n">
        <x:v>2007</x:v>
      </x:c>
      <x:c r="C60" s="119" t="str">
        <x:v>Testare Națională</x:v>
      </x:c>
      <x:c r="D60" s="119" t="str">
        <x:v>Varianta 054</x:v>
      </x:c>
      <x:c r="E60" s="120" t="str">
        <x:v>Neînceput</x:v>
      </x:c>
      <x:c r="F60" s="120" t="str">
        <x:v>Normal</x:v>
      </x:c>
      <x:c r="G60" s="121" t="n">
        <x:f>IF($E60="Amânat",0,Setari!$B$6)</x:f>
        <x:v>20</x:v>
      </x:c>
      <x:c r="H60" s="121" t="n">
        <x:f>IF($E60="Amânat",0,Setari!$B$7)</x:f>
        <x:v>15</x:v>
      </x:c>
      <x:c r="I60" s="121" t="n">
        <x:f>IF($E60="Amânat",0,Setari!$B$8)</x:f>
        <x:v>8</x:v>
      </x:c>
      <x:c r="J60" s="121" t="n">
        <x:f>IF($E60="Amânat",0,Setari!$B$9)</x:f>
        <x:v>5</x:v>
      </x:c>
      <x:c r="K60" s="121" t="n">
        <x:f>SUM(G60:J60)</x:f>
        <x:v>48</x:v>
      </x:c>
      <x:c r="L60" s="122" t="n">
        <x:f>K60/60</x:f>
        <x:v>0.8</x:v>
      </x:c>
      <x:c r="M60" s="119" t="str">
        <x:v>2007/varianta_054.md</x:v>
      </x:c>
      <x:c r="N60" s="119" t="str">
        <x:v>2007/varianta_054.pdf</x:v>
      </x:c>
      <x:c r="O60" s="119" t="str">
        <x:v>Nu există în folder</x:v>
      </x:c>
      <x:c r="P60" s="123" t="str"/>
    </x:row>
    <x:row r="61">
      <x:c r="A61" s="118" t="n">
        <x:v>55</x:v>
      </x:c>
      <x:c r="B61" s="119" t="n">
        <x:v>2007</x:v>
      </x:c>
      <x:c r="C61" s="119" t="str">
        <x:v>Testare Națională</x:v>
      </x:c>
      <x:c r="D61" s="119" t="str">
        <x:v>Varianta 055</x:v>
      </x:c>
      <x:c r="E61" s="120" t="str">
        <x:v>Neînceput</x:v>
      </x:c>
      <x:c r="F61" s="120" t="str">
        <x:v>Normal</x:v>
      </x:c>
      <x:c r="G61" s="121" t="n">
        <x:f>IF($E61="Amânat",0,Setari!$B$6)</x:f>
        <x:v>20</x:v>
      </x:c>
      <x:c r="H61" s="121" t="n">
        <x:f>IF($E61="Amânat",0,Setari!$B$7)</x:f>
        <x:v>15</x:v>
      </x:c>
      <x:c r="I61" s="121" t="n">
        <x:f>IF($E61="Amânat",0,Setari!$B$8)</x:f>
        <x:v>8</x:v>
      </x:c>
      <x:c r="J61" s="121" t="n">
        <x:f>IF($E61="Amânat",0,Setari!$B$9)</x:f>
        <x:v>5</x:v>
      </x:c>
      <x:c r="K61" s="121" t="n">
        <x:f>SUM(G61:J61)</x:f>
        <x:v>48</x:v>
      </x:c>
      <x:c r="L61" s="122" t="n">
        <x:f>K61/60</x:f>
        <x:v>0.8</x:v>
      </x:c>
      <x:c r="M61" s="119" t="str">
        <x:v>2007/varianta_055.md</x:v>
      </x:c>
      <x:c r="N61" s="119" t="str">
        <x:v>2007/varianta_055.pdf</x:v>
      </x:c>
      <x:c r="O61" s="119" t="str">
        <x:v>Nu există în folder</x:v>
      </x:c>
      <x:c r="P61" s="123" t="str"/>
    </x:row>
    <x:row r="62">
      <x:c r="A62" s="118" t="n">
        <x:v>56</x:v>
      </x:c>
      <x:c r="B62" s="119" t="n">
        <x:v>2007</x:v>
      </x:c>
      <x:c r="C62" s="119" t="str">
        <x:v>Testare Națională</x:v>
      </x:c>
      <x:c r="D62" s="119" t="str">
        <x:v>Varianta 056</x:v>
      </x:c>
      <x:c r="E62" s="120" t="str">
        <x:v>Neînceput</x:v>
      </x:c>
      <x:c r="F62" s="120" t="str">
        <x:v>Normal</x:v>
      </x:c>
      <x:c r="G62" s="121" t="n">
        <x:f>IF($E62="Amânat",0,Setari!$B$6)</x:f>
        <x:v>20</x:v>
      </x:c>
      <x:c r="H62" s="121" t="n">
        <x:f>IF($E62="Amânat",0,Setari!$B$7)</x:f>
        <x:v>15</x:v>
      </x:c>
      <x:c r="I62" s="121" t="n">
        <x:f>IF($E62="Amânat",0,Setari!$B$8)</x:f>
        <x:v>8</x:v>
      </x:c>
      <x:c r="J62" s="121" t="n">
        <x:f>IF($E62="Amânat",0,Setari!$B$9)</x:f>
        <x:v>5</x:v>
      </x:c>
      <x:c r="K62" s="121" t="n">
        <x:f>SUM(G62:J62)</x:f>
        <x:v>48</x:v>
      </x:c>
      <x:c r="L62" s="122" t="n">
        <x:f>K62/60</x:f>
        <x:v>0.8</x:v>
      </x:c>
      <x:c r="M62" s="119" t="str">
        <x:v>2007/varianta_056.md</x:v>
      </x:c>
      <x:c r="N62" s="119" t="str">
        <x:v>2007/varianta_056.pdf</x:v>
      </x:c>
      <x:c r="O62" s="119" t="str">
        <x:v>Nu există în folder</x:v>
      </x:c>
      <x:c r="P62" s="123" t="str"/>
    </x:row>
    <x:row r="63">
      <x:c r="A63" s="118" t="n">
        <x:v>57</x:v>
      </x:c>
      <x:c r="B63" s="119" t="n">
        <x:v>2007</x:v>
      </x:c>
      <x:c r="C63" s="119" t="str">
        <x:v>Testare Națională</x:v>
      </x:c>
      <x:c r="D63" s="119" t="str">
        <x:v>Varianta 057</x:v>
      </x:c>
      <x:c r="E63" s="120" t="str">
        <x:v>Neînceput</x:v>
      </x:c>
      <x:c r="F63" s="120" t="str">
        <x:v>Normal</x:v>
      </x:c>
      <x:c r="G63" s="121" t="n">
        <x:f>IF($E63="Amânat",0,Setari!$B$6)</x:f>
        <x:v>20</x:v>
      </x:c>
      <x:c r="H63" s="121" t="n">
        <x:f>IF($E63="Amânat",0,Setari!$B$7)</x:f>
        <x:v>15</x:v>
      </x:c>
      <x:c r="I63" s="121" t="n">
        <x:f>IF($E63="Amânat",0,Setari!$B$8)</x:f>
        <x:v>8</x:v>
      </x:c>
      <x:c r="J63" s="121" t="n">
        <x:f>IF($E63="Amânat",0,Setari!$B$9)</x:f>
        <x:v>5</x:v>
      </x:c>
      <x:c r="K63" s="121" t="n">
        <x:f>SUM(G63:J63)</x:f>
        <x:v>48</x:v>
      </x:c>
      <x:c r="L63" s="122" t="n">
        <x:f>K63/60</x:f>
        <x:v>0.8</x:v>
      </x:c>
      <x:c r="M63" s="119" t="str">
        <x:v>2007/varianta_057.md</x:v>
      </x:c>
      <x:c r="N63" s="119" t="str">
        <x:v>2007/varianta_057.pdf</x:v>
      </x:c>
      <x:c r="O63" s="119" t="str">
        <x:v>Nu există în folder</x:v>
      </x:c>
      <x:c r="P63" s="123" t="str"/>
    </x:row>
    <x:row r="64">
      <x:c r="A64" s="118" t="n">
        <x:v>58</x:v>
      </x:c>
      <x:c r="B64" s="119" t="n">
        <x:v>2007</x:v>
      </x:c>
      <x:c r="C64" s="119" t="str">
        <x:v>Testare Națională</x:v>
      </x:c>
      <x:c r="D64" s="119" t="str">
        <x:v>Varianta 058</x:v>
      </x:c>
      <x:c r="E64" s="120" t="str">
        <x:v>Neînceput</x:v>
      </x:c>
      <x:c r="F64" s="120" t="str">
        <x:v>Normal</x:v>
      </x:c>
      <x:c r="G64" s="121" t="n">
        <x:f>IF($E64="Amânat",0,Setari!$B$6)</x:f>
        <x:v>20</x:v>
      </x:c>
      <x:c r="H64" s="121" t="n">
        <x:f>IF($E64="Amânat",0,Setari!$B$7)</x:f>
        <x:v>15</x:v>
      </x:c>
      <x:c r="I64" s="121" t="n">
        <x:f>IF($E64="Amânat",0,Setari!$B$8)</x:f>
        <x:v>8</x:v>
      </x:c>
      <x:c r="J64" s="121" t="n">
        <x:f>IF($E64="Amânat",0,Setari!$B$9)</x:f>
        <x:v>5</x:v>
      </x:c>
      <x:c r="K64" s="121" t="n">
        <x:f>SUM(G64:J64)</x:f>
        <x:v>48</x:v>
      </x:c>
      <x:c r="L64" s="122" t="n">
        <x:f>K64/60</x:f>
        <x:v>0.8</x:v>
      </x:c>
      <x:c r="M64" s="119" t="str">
        <x:v>2007/varianta_058.md</x:v>
      </x:c>
      <x:c r="N64" s="119" t="str">
        <x:v>2007/varianta_058.pdf</x:v>
      </x:c>
      <x:c r="O64" s="119" t="str">
        <x:v>Nu există în folder</x:v>
      </x:c>
      <x:c r="P64" s="123" t="str"/>
    </x:row>
    <x:row r="65">
      <x:c r="A65" s="118" t="n">
        <x:v>59</x:v>
      </x:c>
      <x:c r="B65" s="119" t="n">
        <x:v>2007</x:v>
      </x:c>
      <x:c r="C65" s="119" t="str">
        <x:v>Testare Națională</x:v>
      </x:c>
      <x:c r="D65" s="119" t="str">
        <x:v>Varianta 059</x:v>
      </x:c>
      <x:c r="E65" s="120" t="str">
        <x:v>Neînceput</x:v>
      </x:c>
      <x:c r="F65" s="120" t="str">
        <x:v>Normal</x:v>
      </x:c>
      <x:c r="G65" s="121" t="n">
        <x:f>IF($E65="Amânat",0,Setari!$B$6)</x:f>
        <x:v>20</x:v>
      </x:c>
      <x:c r="H65" s="121" t="n">
        <x:f>IF($E65="Amânat",0,Setari!$B$7)</x:f>
        <x:v>15</x:v>
      </x:c>
      <x:c r="I65" s="121" t="n">
        <x:f>IF($E65="Amânat",0,Setari!$B$8)</x:f>
        <x:v>8</x:v>
      </x:c>
      <x:c r="J65" s="121" t="n">
        <x:f>IF($E65="Amânat",0,Setari!$B$9)</x:f>
        <x:v>5</x:v>
      </x:c>
      <x:c r="K65" s="121" t="n">
        <x:f>SUM(G65:J65)</x:f>
        <x:v>48</x:v>
      </x:c>
      <x:c r="L65" s="122" t="n">
        <x:f>K65/60</x:f>
        <x:v>0.8</x:v>
      </x:c>
      <x:c r="M65" s="119" t="str">
        <x:v>2007/varianta_059.md</x:v>
      </x:c>
      <x:c r="N65" s="119" t="str">
        <x:v>2007/varianta_059.pdf</x:v>
      </x:c>
      <x:c r="O65" s="119" t="str">
        <x:v>Nu există în folder</x:v>
      </x:c>
      <x:c r="P65" s="123" t="str"/>
    </x:row>
    <x:row r="66">
      <x:c r="A66" s="118" t="n">
        <x:v>60</x:v>
      </x:c>
      <x:c r="B66" s="119" t="n">
        <x:v>2007</x:v>
      </x:c>
      <x:c r="C66" s="119" t="str">
        <x:v>Testare Națională</x:v>
      </x:c>
      <x:c r="D66" s="119" t="str">
        <x:v>Varianta 060</x:v>
      </x:c>
      <x:c r="E66" s="120" t="str">
        <x:v>Neînceput</x:v>
      </x:c>
      <x:c r="F66" s="120" t="str">
        <x:v>Normal</x:v>
      </x:c>
      <x:c r="G66" s="121" t="n">
        <x:f>IF($E66="Amânat",0,Setari!$B$6)</x:f>
        <x:v>20</x:v>
      </x:c>
      <x:c r="H66" s="121" t="n">
        <x:f>IF($E66="Amânat",0,Setari!$B$7)</x:f>
        <x:v>15</x:v>
      </x:c>
      <x:c r="I66" s="121" t="n">
        <x:f>IF($E66="Amânat",0,Setari!$B$8)</x:f>
        <x:v>8</x:v>
      </x:c>
      <x:c r="J66" s="121" t="n">
        <x:f>IF($E66="Amânat",0,Setari!$B$9)</x:f>
        <x:v>5</x:v>
      </x:c>
      <x:c r="K66" s="121" t="n">
        <x:f>SUM(G66:J66)</x:f>
        <x:v>48</x:v>
      </x:c>
      <x:c r="L66" s="122" t="n">
        <x:f>K66/60</x:f>
        <x:v>0.8</x:v>
      </x:c>
      <x:c r="M66" s="119" t="str">
        <x:v>2007/varianta_060.md</x:v>
      </x:c>
      <x:c r="N66" s="119" t="str">
        <x:v>2007/varianta_060.pdf</x:v>
      </x:c>
      <x:c r="O66" s="119" t="str">
        <x:v>Nu există în folder</x:v>
      </x:c>
      <x:c r="P66" s="123" t="str"/>
    </x:row>
    <x:row r="67">
      <x:c r="A67" s="118" t="n">
        <x:v>61</x:v>
      </x:c>
      <x:c r="B67" s="119" t="n">
        <x:v>2007</x:v>
      </x:c>
      <x:c r="C67" s="119" t="str">
        <x:v>Testare Națională</x:v>
      </x:c>
      <x:c r="D67" s="119" t="str">
        <x:v>Varianta 061</x:v>
      </x:c>
      <x:c r="E67" s="120" t="str">
        <x:v>Neînceput</x:v>
      </x:c>
      <x:c r="F67" s="120" t="str">
        <x:v>Normal</x:v>
      </x:c>
      <x:c r="G67" s="121" t="n">
        <x:f>IF($E67="Amânat",0,Setari!$B$6)</x:f>
        <x:v>20</x:v>
      </x:c>
      <x:c r="H67" s="121" t="n">
        <x:f>IF($E67="Amânat",0,Setari!$B$7)</x:f>
        <x:v>15</x:v>
      </x:c>
      <x:c r="I67" s="121" t="n">
        <x:f>IF($E67="Amânat",0,Setari!$B$8)</x:f>
        <x:v>8</x:v>
      </x:c>
      <x:c r="J67" s="121" t="n">
        <x:f>IF($E67="Amânat",0,Setari!$B$9)</x:f>
        <x:v>5</x:v>
      </x:c>
      <x:c r="K67" s="121" t="n">
        <x:f>SUM(G67:J67)</x:f>
        <x:v>48</x:v>
      </x:c>
      <x:c r="L67" s="122" t="n">
        <x:f>K67/60</x:f>
        <x:v>0.8</x:v>
      </x:c>
      <x:c r="M67" s="119" t="str">
        <x:v>2007/varianta_061.md</x:v>
      </x:c>
      <x:c r="N67" s="119" t="str">
        <x:v>2007/varianta_061.pdf</x:v>
      </x:c>
      <x:c r="O67" s="119" t="str">
        <x:v>Nu există în folder</x:v>
      </x:c>
      <x:c r="P67" s="123" t="str"/>
    </x:row>
    <x:row r="68">
      <x:c r="A68" s="118" t="n">
        <x:v>62</x:v>
      </x:c>
      <x:c r="B68" s="119" t="n">
        <x:v>2007</x:v>
      </x:c>
      <x:c r="C68" s="119" t="str">
        <x:v>Testare Națională</x:v>
      </x:c>
      <x:c r="D68" s="119" t="str">
        <x:v>Varianta 062</x:v>
      </x:c>
      <x:c r="E68" s="120" t="str">
        <x:v>Neînceput</x:v>
      </x:c>
      <x:c r="F68" s="120" t="str">
        <x:v>Normal</x:v>
      </x:c>
      <x:c r="G68" s="121" t="n">
        <x:f>IF($E68="Amânat",0,Setari!$B$6)</x:f>
        <x:v>20</x:v>
      </x:c>
      <x:c r="H68" s="121" t="n">
        <x:f>IF($E68="Amânat",0,Setari!$B$7)</x:f>
        <x:v>15</x:v>
      </x:c>
      <x:c r="I68" s="121" t="n">
        <x:f>IF($E68="Amânat",0,Setari!$B$8)</x:f>
        <x:v>8</x:v>
      </x:c>
      <x:c r="J68" s="121" t="n">
        <x:f>IF($E68="Amânat",0,Setari!$B$9)</x:f>
        <x:v>5</x:v>
      </x:c>
      <x:c r="K68" s="121" t="n">
        <x:f>SUM(G68:J68)</x:f>
        <x:v>48</x:v>
      </x:c>
      <x:c r="L68" s="122" t="n">
        <x:f>K68/60</x:f>
        <x:v>0.8</x:v>
      </x:c>
      <x:c r="M68" s="119" t="str">
        <x:v>2007/varianta_062.md</x:v>
      </x:c>
      <x:c r="N68" s="119" t="str">
        <x:v>2007/varianta_062.pdf</x:v>
      </x:c>
      <x:c r="O68" s="119" t="str">
        <x:v>Nu există în folder</x:v>
      </x:c>
      <x:c r="P68" s="123" t="str"/>
    </x:row>
    <x:row r="69">
      <x:c r="A69" s="118" t="n">
        <x:v>63</x:v>
      </x:c>
      <x:c r="B69" s="119" t="n">
        <x:v>2007</x:v>
      </x:c>
      <x:c r="C69" s="119" t="str">
        <x:v>Testare Națională</x:v>
      </x:c>
      <x:c r="D69" s="119" t="str">
        <x:v>Varianta 063</x:v>
      </x:c>
      <x:c r="E69" s="120" t="str">
        <x:v>Neînceput</x:v>
      </x:c>
      <x:c r="F69" s="120" t="str">
        <x:v>Normal</x:v>
      </x:c>
      <x:c r="G69" s="121" t="n">
        <x:f>IF($E69="Amânat",0,Setari!$B$6)</x:f>
        <x:v>20</x:v>
      </x:c>
      <x:c r="H69" s="121" t="n">
        <x:f>IF($E69="Amânat",0,Setari!$B$7)</x:f>
        <x:v>15</x:v>
      </x:c>
      <x:c r="I69" s="121" t="n">
        <x:f>IF($E69="Amânat",0,Setari!$B$8)</x:f>
        <x:v>8</x:v>
      </x:c>
      <x:c r="J69" s="121" t="n">
        <x:f>IF($E69="Amânat",0,Setari!$B$9)</x:f>
        <x:v>5</x:v>
      </x:c>
      <x:c r="K69" s="121" t="n">
        <x:f>SUM(G69:J69)</x:f>
        <x:v>48</x:v>
      </x:c>
      <x:c r="L69" s="122" t="n">
        <x:f>K69/60</x:f>
        <x:v>0.8</x:v>
      </x:c>
      <x:c r="M69" s="119" t="str">
        <x:v>2007/varianta_063.md</x:v>
      </x:c>
      <x:c r="N69" s="119" t="str">
        <x:v>2007/varianta_063.pdf</x:v>
      </x:c>
      <x:c r="O69" s="119" t="str">
        <x:v>Nu există în folder</x:v>
      </x:c>
      <x:c r="P69" s="123" t="str"/>
    </x:row>
    <x:row r="70">
      <x:c r="A70" s="118" t="n">
        <x:v>64</x:v>
      </x:c>
      <x:c r="B70" s="119" t="n">
        <x:v>2007</x:v>
      </x:c>
      <x:c r="C70" s="119" t="str">
        <x:v>Testare Națională</x:v>
      </x:c>
      <x:c r="D70" s="119" t="str">
        <x:v>Varianta 064</x:v>
      </x:c>
      <x:c r="E70" s="120" t="str">
        <x:v>Neînceput</x:v>
      </x:c>
      <x:c r="F70" s="120" t="str">
        <x:v>Normal</x:v>
      </x:c>
      <x:c r="G70" s="121" t="n">
        <x:f>IF($E70="Amânat",0,Setari!$B$6)</x:f>
        <x:v>20</x:v>
      </x:c>
      <x:c r="H70" s="121" t="n">
        <x:f>IF($E70="Amânat",0,Setari!$B$7)</x:f>
        <x:v>15</x:v>
      </x:c>
      <x:c r="I70" s="121" t="n">
        <x:f>IF($E70="Amânat",0,Setari!$B$8)</x:f>
        <x:v>8</x:v>
      </x:c>
      <x:c r="J70" s="121" t="n">
        <x:f>IF($E70="Amânat",0,Setari!$B$9)</x:f>
        <x:v>5</x:v>
      </x:c>
      <x:c r="K70" s="121" t="n">
        <x:f>SUM(G70:J70)</x:f>
        <x:v>48</x:v>
      </x:c>
      <x:c r="L70" s="122" t="n">
        <x:f>K70/60</x:f>
        <x:v>0.8</x:v>
      </x:c>
      <x:c r="M70" s="119" t="str">
        <x:v>2007/varianta_064.md</x:v>
      </x:c>
      <x:c r="N70" s="119" t="str">
        <x:v>2007/varianta_064.pdf</x:v>
      </x:c>
      <x:c r="O70" s="119" t="str">
        <x:v>Nu există în folder</x:v>
      </x:c>
      <x:c r="P70" s="123" t="str"/>
    </x:row>
    <x:row r="71">
      <x:c r="A71" s="118" t="n">
        <x:v>65</x:v>
      </x:c>
      <x:c r="B71" s="119" t="n">
        <x:v>2007</x:v>
      </x:c>
      <x:c r="C71" s="119" t="str">
        <x:v>Testare Națională</x:v>
      </x:c>
      <x:c r="D71" s="119" t="str">
        <x:v>Varianta 065</x:v>
      </x:c>
      <x:c r="E71" s="120" t="str">
        <x:v>Neînceput</x:v>
      </x:c>
      <x:c r="F71" s="120" t="str">
        <x:v>Normal</x:v>
      </x:c>
      <x:c r="G71" s="121" t="n">
        <x:f>IF($E71="Amânat",0,Setari!$B$6)</x:f>
        <x:v>20</x:v>
      </x:c>
      <x:c r="H71" s="121" t="n">
        <x:f>IF($E71="Amânat",0,Setari!$B$7)</x:f>
        <x:v>15</x:v>
      </x:c>
      <x:c r="I71" s="121" t="n">
        <x:f>IF($E71="Amânat",0,Setari!$B$8)</x:f>
        <x:v>8</x:v>
      </x:c>
      <x:c r="J71" s="121" t="n">
        <x:f>IF($E71="Amânat",0,Setari!$B$9)</x:f>
        <x:v>5</x:v>
      </x:c>
      <x:c r="K71" s="121" t="n">
        <x:f>SUM(G71:J71)</x:f>
        <x:v>48</x:v>
      </x:c>
      <x:c r="L71" s="122" t="n">
        <x:f>K71/60</x:f>
        <x:v>0.8</x:v>
      </x:c>
      <x:c r="M71" s="119" t="str">
        <x:v>2007/varianta_065.md</x:v>
      </x:c>
      <x:c r="N71" s="119" t="str">
        <x:v>2007/varianta_065.pdf</x:v>
      </x:c>
      <x:c r="O71" s="119" t="str">
        <x:v>Nu există în folder</x:v>
      </x:c>
      <x:c r="P71" s="123" t="str"/>
    </x:row>
    <x:row r="72">
      <x:c r="A72" s="118" t="n">
        <x:v>66</x:v>
      </x:c>
      <x:c r="B72" s="119" t="n">
        <x:v>2007</x:v>
      </x:c>
      <x:c r="C72" s="119" t="str">
        <x:v>Testare Națională</x:v>
      </x:c>
      <x:c r="D72" s="119" t="str">
        <x:v>Varianta 066</x:v>
      </x:c>
      <x:c r="E72" s="120" t="str">
        <x:v>Neînceput</x:v>
      </x:c>
      <x:c r="F72" s="120" t="str">
        <x:v>Normal</x:v>
      </x:c>
      <x:c r="G72" s="121" t="n">
        <x:f>IF($E72="Amânat",0,Setari!$B$6)</x:f>
        <x:v>20</x:v>
      </x:c>
      <x:c r="H72" s="121" t="n">
        <x:f>IF($E72="Amânat",0,Setari!$B$7)</x:f>
        <x:v>15</x:v>
      </x:c>
      <x:c r="I72" s="121" t="n">
        <x:f>IF($E72="Amânat",0,Setari!$B$8)</x:f>
        <x:v>8</x:v>
      </x:c>
      <x:c r="J72" s="121" t="n">
        <x:f>IF($E72="Amânat",0,Setari!$B$9)</x:f>
        <x:v>5</x:v>
      </x:c>
      <x:c r="K72" s="121" t="n">
        <x:f>SUM(G72:J72)</x:f>
        <x:v>48</x:v>
      </x:c>
      <x:c r="L72" s="122" t="n">
        <x:f>K72/60</x:f>
        <x:v>0.8</x:v>
      </x:c>
      <x:c r="M72" s="119" t="str">
        <x:v>2007/varianta_066.md</x:v>
      </x:c>
      <x:c r="N72" s="119" t="str">
        <x:v>2007/varianta_066.pdf</x:v>
      </x:c>
      <x:c r="O72" s="119" t="str">
        <x:v>Nu există în folder</x:v>
      </x:c>
      <x:c r="P72" s="123" t="str"/>
    </x:row>
    <x:row r="73">
      <x:c r="A73" s="118" t="n">
        <x:v>67</x:v>
      </x:c>
      <x:c r="B73" s="119" t="n">
        <x:v>2007</x:v>
      </x:c>
      <x:c r="C73" s="119" t="str">
        <x:v>Testare Națională</x:v>
      </x:c>
      <x:c r="D73" s="119" t="str">
        <x:v>Varianta 067</x:v>
      </x:c>
      <x:c r="E73" s="120" t="str">
        <x:v>Neînceput</x:v>
      </x:c>
      <x:c r="F73" s="120" t="str">
        <x:v>Normal</x:v>
      </x:c>
      <x:c r="G73" s="121" t="n">
        <x:f>IF($E73="Amânat",0,Setari!$B$6)</x:f>
        <x:v>20</x:v>
      </x:c>
      <x:c r="H73" s="121" t="n">
        <x:f>IF($E73="Amânat",0,Setari!$B$7)</x:f>
        <x:v>15</x:v>
      </x:c>
      <x:c r="I73" s="121" t="n">
        <x:f>IF($E73="Amânat",0,Setari!$B$8)</x:f>
        <x:v>8</x:v>
      </x:c>
      <x:c r="J73" s="121" t="n">
        <x:f>IF($E73="Amânat",0,Setari!$B$9)</x:f>
        <x:v>5</x:v>
      </x:c>
      <x:c r="K73" s="121" t="n">
        <x:f>SUM(G73:J73)</x:f>
        <x:v>48</x:v>
      </x:c>
      <x:c r="L73" s="122" t="n">
        <x:f>K73/60</x:f>
        <x:v>0.8</x:v>
      </x:c>
      <x:c r="M73" s="119" t="str">
        <x:v>2007/varianta_067.md</x:v>
      </x:c>
      <x:c r="N73" s="119" t="str">
        <x:v>2007/varianta_067.pdf</x:v>
      </x:c>
      <x:c r="O73" s="119" t="str">
        <x:v>Nu există în folder</x:v>
      </x:c>
      <x:c r="P73" s="123" t="str"/>
    </x:row>
    <x:row r="74">
      <x:c r="A74" s="118" t="n">
        <x:v>68</x:v>
      </x:c>
      <x:c r="B74" s="119" t="n">
        <x:v>2007</x:v>
      </x:c>
      <x:c r="C74" s="119" t="str">
        <x:v>Testare Națională</x:v>
      </x:c>
      <x:c r="D74" s="119" t="str">
        <x:v>Varianta 068</x:v>
      </x:c>
      <x:c r="E74" s="120" t="str">
        <x:v>Neînceput</x:v>
      </x:c>
      <x:c r="F74" s="120" t="str">
        <x:v>Normal</x:v>
      </x:c>
      <x:c r="G74" s="121" t="n">
        <x:f>IF($E74="Amânat",0,Setari!$B$6)</x:f>
        <x:v>20</x:v>
      </x:c>
      <x:c r="H74" s="121" t="n">
        <x:f>IF($E74="Amânat",0,Setari!$B$7)</x:f>
        <x:v>15</x:v>
      </x:c>
      <x:c r="I74" s="121" t="n">
        <x:f>IF($E74="Amânat",0,Setari!$B$8)</x:f>
        <x:v>8</x:v>
      </x:c>
      <x:c r="J74" s="121" t="n">
        <x:f>IF($E74="Amânat",0,Setari!$B$9)</x:f>
        <x:v>5</x:v>
      </x:c>
      <x:c r="K74" s="121" t="n">
        <x:f>SUM(G74:J74)</x:f>
        <x:v>48</x:v>
      </x:c>
      <x:c r="L74" s="122" t="n">
        <x:f>K74/60</x:f>
        <x:v>0.8</x:v>
      </x:c>
      <x:c r="M74" s="119" t="str">
        <x:v>2007/varianta_068.md</x:v>
      </x:c>
      <x:c r="N74" s="119" t="str">
        <x:v>2007/varianta_068.pdf</x:v>
      </x:c>
      <x:c r="O74" s="119" t="str">
        <x:v>Nu există în folder</x:v>
      </x:c>
      <x:c r="P74" s="123" t="str"/>
    </x:row>
    <x:row r="75">
      <x:c r="A75" s="118" t="n">
        <x:v>69</x:v>
      </x:c>
      <x:c r="B75" s="119" t="n">
        <x:v>2007</x:v>
      </x:c>
      <x:c r="C75" s="119" t="str">
        <x:v>Testare Națională</x:v>
      </x:c>
      <x:c r="D75" s="119" t="str">
        <x:v>Varianta 069</x:v>
      </x:c>
      <x:c r="E75" s="120" t="str">
        <x:v>Neînceput</x:v>
      </x:c>
      <x:c r="F75" s="120" t="str">
        <x:v>Normal</x:v>
      </x:c>
      <x:c r="G75" s="121" t="n">
        <x:f>IF($E75="Amânat",0,Setari!$B$6)</x:f>
        <x:v>20</x:v>
      </x:c>
      <x:c r="H75" s="121" t="n">
        <x:f>IF($E75="Amânat",0,Setari!$B$7)</x:f>
        <x:v>15</x:v>
      </x:c>
      <x:c r="I75" s="121" t="n">
        <x:f>IF($E75="Amânat",0,Setari!$B$8)</x:f>
        <x:v>8</x:v>
      </x:c>
      <x:c r="J75" s="121" t="n">
        <x:f>IF($E75="Amânat",0,Setari!$B$9)</x:f>
        <x:v>5</x:v>
      </x:c>
      <x:c r="K75" s="121" t="n">
        <x:f>SUM(G75:J75)</x:f>
        <x:v>48</x:v>
      </x:c>
      <x:c r="L75" s="122" t="n">
        <x:f>K75/60</x:f>
        <x:v>0.8</x:v>
      </x:c>
      <x:c r="M75" s="119" t="str">
        <x:v>2007/varianta_069.md</x:v>
      </x:c>
      <x:c r="N75" s="119" t="str">
        <x:v>2007/varianta_069.pdf</x:v>
      </x:c>
      <x:c r="O75" s="119" t="str">
        <x:v>Nu există în folder</x:v>
      </x:c>
      <x:c r="P75" s="123" t="str"/>
    </x:row>
    <x:row r="76">
      <x:c r="A76" s="118" t="n">
        <x:v>70</x:v>
      </x:c>
      <x:c r="B76" s="119" t="n">
        <x:v>2007</x:v>
      </x:c>
      <x:c r="C76" s="119" t="str">
        <x:v>Testare Națională</x:v>
      </x:c>
      <x:c r="D76" s="119" t="str">
        <x:v>Varianta 070</x:v>
      </x:c>
      <x:c r="E76" s="120" t="str">
        <x:v>Neînceput</x:v>
      </x:c>
      <x:c r="F76" s="120" t="str">
        <x:v>Normal</x:v>
      </x:c>
      <x:c r="G76" s="121" t="n">
        <x:f>IF($E76="Amânat",0,Setari!$B$6)</x:f>
        <x:v>20</x:v>
      </x:c>
      <x:c r="H76" s="121" t="n">
        <x:f>IF($E76="Amânat",0,Setari!$B$7)</x:f>
        <x:v>15</x:v>
      </x:c>
      <x:c r="I76" s="121" t="n">
        <x:f>IF($E76="Amânat",0,Setari!$B$8)</x:f>
        <x:v>8</x:v>
      </x:c>
      <x:c r="J76" s="121" t="n">
        <x:f>IF($E76="Amânat",0,Setari!$B$9)</x:f>
        <x:v>5</x:v>
      </x:c>
      <x:c r="K76" s="121" t="n">
        <x:f>SUM(G76:J76)</x:f>
        <x:v>48</x:v>
      </x:c>
      <x:c r="L76" s="122" t="n">
        <x:f>K76/60</x:f>
        <x:v>0.8</x:v>
      </x:c>
      <x:c r="M76" s="119" t="str">
        <x:v>2007/varianta_070.md</x:v>
      </x:c>
      <x:c r="N76" s="119" t="str">
        <x:v>2007/varianta_070.pdf</x:v>
      </x:c>
      <x:c r="O76" s="119" t="str">
        <x:v>Nu există în folder</x:v>
      </x:c>
      <x:c r="P76" s="123" t="str"/>
    </x:row>
    <x:row r="77">
      <x:c r="A77" s="118" t="n">
        <x:v>71</x:v>
      </x:c>
      <x:c r="B77" s="119" t="n">
        <x:v>2007</x:v>
      </x:c>
      <x:c r="C77" s="119" t="str">
        <x:v>Testare Națională</x:v>
      </x:c>
      <x:c r="D77" s="119" t="str">
        <x:v>Varianta 071</x:v>
      </x:c>
      <x:c r="E77" s="120" t="str">
        <x:v>Neînceput</x:v>
      </x:c>
      <x:c r="F77" s="120" t="str">
        <x:v>Normal</x:v>
      </x:c>
      <x:c r="G77" s="121" t="n">
        <x:f>IF($E77="Amânat",0,Setari!$B$6)</x:f>
        <x:v>20</x:v>
      </x:c>
      <x:c r="H77" s="121" t="n">
        <x:f>IF($E77="Amânat",0,Setari!$B$7)</x:f>
        <x:v>15</x:v>
      </x:c>
      <x:c r="I77" s="121" t="n">
        <x:f>IF($E77="Amânat",0,Setari!$B$8)</x:f>
        <x:v>8</x:v>
      </x:c>
      <x:c r="J77" s="121" t="n">
        <x:f>IF($E77="Amânat",0,Setari!$B$9)</x:f>
        <x:v>5</x:v>
      </x:c>
      <x:c r="K77" s="121" t="n">
        <x:f>SUM(G77:J77)</x:f>
        <x:v>48</x:v>
      </x:c>
      <x:c r="L77" s="122" t="n">
        <x:f>K77/60</x:f>
        <x:v>0.8</x:v>
      </x:c>
      <x:c r="M77" s="119" t="str">
        <x:v>2007/varianta_071.md</x:v>
      </x:c>
      <x:c r="N77" s="119" t="str">
        <x:v>2007/varianta_071.pdf</x:v>
      </x:c>
      <x:c r="O77" s="119" t="str">
        <x:v>Nu există în folder</x:v>
      </x:c>
      <x:c r="P77" s="123" t="str"/>
    </x:row>
    <x:row r="78">
      <x:c r="A78" s="118" t="n">
        <x:v>72</x:v>
      </x:c>
      <x:c r="B78" s="119" t="n">
        <x:v>2007</x:v>
      </x:c>
      <x:c r="C78" s="119" t="str">
        <x:v>Testare Națională</x:v>
      </x:c>
      <x:c r="D78" s="119" t="str">
        <x:v>Varianta 072</x:v>
      </x:c>
      <x:c r="E78" s="120" t="str">
        <x:v>Neînceput</x:v>
      </x:c>
      <x:c r="F78" s="120" t="str">
        <x:v>Normal</x:v>
      </x:c>
      <x:c r="G78" s="121" t="n">
        <x:f>IF($E78="Amânat",0,Setari!$B$6)</x:f>
        <x:v>20</x:v>
      </x:c>
      <x:c r="H78" s="121" t="n">
        <x:f>IF($E78="Amânat",0,Setari!$B$7)</x:f>
        <x:v>15</x:v>
      </x:c>
      <x:c r="I78" s="121" t="n">
        <x:f>IF($E78="Amânat",0,Setari!$B$8)</x:f>
        <x:v>8</x:v>
      </x:c>
      <x:c r="J78" s="121" t="n">
        <x:f>IF($E78="Amânat",0,Setari!$B$9)</x:f>
        <x:v>5</x:v>
      </x:c>
      <x:c r="K78" s="121" t="n">
        <x:f>SUM(G78:J78)</x:f>
        <x:v>48</x:v>
      </x:c>
      <x:c r="L78" s="122" t="n">
        <x:f>K78/60</x:f>
        <x:v>0.8</x:v>
      </x:c>
      <x:c r="M78" s="119" t="str">
        <x:v>2007/varianta_072.md</x:v>
      </x:c>
      <x:c r="N78" s="119" t="str">
        <x:v>2007/varianta_072.pdf</x:v>
      </x:c>
      <x:c r="O78" s="119" t="str">
        <x:v>Nu există în folder</x:v>
      </x:c>
      <x:c r="P78" s="123" t="str"/>
    </x:row>
    <x:row r="79">
      <x:c r="A79" s="118" t="n">
        <x:v>73</x:v>
      </x:c>
      <x:c r="B79" s="119" t="n">
        <x:v>2007</x:v>
      </x:c>
      <x:c r="C79" s="119" t="str">
        <x:v>Testare Națională</x:v>
      </x:c>
      <x:c r="D79" s="119" t="str">
        <x:v>Varianta 073</x:v>
      </x:c>
      <x:c r="E79" s="120" t="str">
        <x:v>Neînceput</x:v>
      </x:c>
      <x:c r="F79" s="120" t="str">
        <x:v>Normal</x:v>
      </x:c>
      <x:c r="G79" s="121" t="n">
        <x:f>IF($E79="Amânat",0,Setari!$B$6)</x:f>
        <x:v>20</x:v>
      </x:c>
      <x:c r="H79" s="121" t="n">
        <x:f>IF($E79="Amânat",0,Setari!$B$7)</x:f>
        <x:v>15</x:v>
      </x:c>
      <x:c r="I79" s="121" t="n">
        <x:f>IF($E79="Amânat",0,Setari!$B$8)</x:f>
        <x:v>8</x:v>
      </x:c>
      <x:c r="J79" s="121" t="n">
        <x:f>IF($E79="Amânat",0,Setari!$B$9)</x:f>
        <x:v>5</x:v>
      </x:c>
      <x:c r="K79" s="121" t="n">
        <x:f>SUM(G79:J79)</x:f>
        <x:v>48</x:v>
      </x:c>
      <x:c r="L79" s="122" t="n">
        <x:f>K79/60</x:f>
        <x:v>0.8</x:v>
      </x:c>
      <x:c r="M79" s="119" t="str">
        <x:v>2007/varianta_073.md</x:v>
      </x:c>
      <x:c r="N79" s="119" t="str">
        <x:v>2007/varianta_073.pdf</x:v>
      </x:c>
      <x:c r="O79" s="119" t="str">
        <x:v>Nu există în folder</x:v>
      </x:c>
      <x:c r="P79" s="123" t="str"/>
    </x:row>
    <x:row r="80">
      <x:c r="A80" s="118" t="n">
        <x:v>74</x:v>
      </x:c>
      <x:c r="B80" s="119" t="n">
        <x:v>2007</x:v>
      </x:c>
      <x:c r="C80" s="119" t="str">
        <x:v>Testare Națională</x:v>
      </x:c>
      <x:c r="D80" s="119" t="str">
        <x:v>Varianta 074</x:v>
      </x:c>
      <x:c r="E80" s="120" t="str">
        <x:v>Neînceput</x:v>
      </x:c>
      <x:c r="F80" s="120" t="str">
        <x:v>Normal</x:v>
      </x:c>
      <x:c r="G80" s="121" t="n">
        <x:f>IF($E80="Amânat",0,Setari!$B$6)</x:f>
        <x:v>20</x:v>
      </x:c>
      <x:c r="H80" s="121" t="n">
        <x:f>IF($E80="Amânat",0,Setari!$B$7)</x:f>
        <x:v>15</x:v>
      </x:c>
      <x:c r="I80" s="121" t="n">
        <x:f>IF($E80="Amânat",0,Setari!$B$8)</x:f>
        <x:v>8</x:v>
      </x:c>
      <x:c r="J80" s="121" t="n">
        <x:f>IF($E80="Amânat",0,Setari!$B$9)</x:f>
        <x:v>5</x:v>
      </x:c>
      <x:c r="K80" s="121" t="n">
        <x:f>SUM(G80:J80)</x:f>
        <x:v>48</x:v>
      </x:c>
      <x:c r="L80" s="122" t="n">
        <x:f>K80/60</x:f>
        <x:v>0.8</x:v>
      </x:c>
      <x:c r="M80" s="119" t="str">
        <x:v>2007/varianta_074.md</x:v>
      </x:c>
      <x:c r="N80" s="119" t="str">
        <x:v>2007/varianta_074.pdf</x:v>
      </x:c>
      <x:c r="O80" s="119" t="str">
        <x:v>Nu există în folder</x:v>
      </x:c>
      <x:c r="P80" s="123" t="str"/>
    </x:row>
    <x:row r="81">
      <x:c r="A81" s="118" t="n">
        <x:v>75</x:v>
      </x:c>
      <x:c r="B81" s="119" t="n">
        <x:v>2007</x:v>
      </x:c>
      <x:c r="C81" s="119" t="str">
        <x:v>Testare Națională</x:v>
      </x:c>
      <x:c r="D81" s="119" t="str">
        <x:v>Varianta 075</x:v>
      </x:c>
      <x:c r="E81" s="120" t="str">
        <x:v>Neînceput</x:v>
      </x:c>
      <x:c r="F81" s="120" t="str">
        <x:v>Normal</x:v>
      </x:c>
      <x:c r="G81" s="121" t="n">
        <x:f>IF($E81="Amânat",0,Setari!$B$6)</x:f>
        <x:v>20</x:v>
      </x:c>
      <x:c r="H81" s="121" t="n">
        <x:f>IF($E81="Amânat",0,Setari!$B$7)</x:f>
        <x:v>15</x:v>
      </x:c>
      <x:c r="I81" s="121" t="n">
        <x:f>IF($E81="Amânat",0,Setari!$B$8)</x:f>
        <x:v>8</x:v>
      </x:c>
      <x:c r="J81" s="121" t="n">
        <x:f>IF($E81="Amânat",0,Setari!$B$9)</x:f>
        <x:v>5</x:v>
      </x:c>
      <x:c r="K81" s="121" t="n">
        <x:f>SUM(G81:J81)</x:f>
        <x:v>48</x:v>
      </x:c>
      <x:c r="L81" s="122" t="n">
        <x:f>K81/60</x:f>
        <x:v>0.8</x:v>
      </x:c>
      <x:c r="M81" s="119" t="str">
        <x:v>2007/varianta_075.md</x:v>
      </x:c>
      <x:c r="N81" s="119" t="str">
        <x:v>2007/varianta_075.pdf</x:v>
      </x:c>
      <x:c r="O81" s="119" t="str">
        <x:v>Nu există în folder</x:v>
      </x:c>
      <x:c r="P81" s="123" t="str"/>
    </x:row>
    <x:row r="82">
      <x:c r="A82" s="118" t="n">
        <x:v>76</x:v>
      </x:c>
      <x:c r="B82" s="119" t="n">
        <x:v>2007</x:v>
      </x:c>
      <x:c r="C82" s="119" t="str">
        <x:v>Testare Națională</x:v>
      </x:c>
      <x:c r="D82" s="119" t="str">
        <x:v>Varianta 076</x:v>
      </x:c>
      <x:c r="E82" s="120" t="str">
        <x:v>Neînceput</x:v>
      </x:c>
      <x:c r="F82" s="120" t="str">
        <x:v>Normal</x:v>
      </x:c>
      <x:c r="G82" s="121" t="n">
        <x:f>IF($E82="Amânat",0,Setari!$B$6)</x:f>
        <x:v>20</x:v>
      </x:c>
      <x:c r="H82" s="121" t="n">
        <x:f>IF($E82="Amânat",0,Setari!$B$7)</x:f>
        <x:v>15</x:v>
      </x:c>
      <x:c r="I82" s="121" t="n">
        <x:f>IF($E82="Amânat",0,Setari!$B$8)</x:f>
        <x:v>8</x:v>
      </x:c>
      <x:c r="J82" s="121" t="n">
        <x:f>IF($E82="Amânat",0,Setari!$B$9)</x:f>
        <x:v>5</x:v>
      </x:c>
      <x:c r="K82" s="121" t="n">
        <x:f>SUM(G82:J82)</x:f>
        <x:v>48</x:v>
      </x:c>
      <x:c r="L82" s="122" t="n">
        <x:f>K82/60</x:f>
        <x:v>0.8</x:v>
      </x:c>
      <x:c r="M82" s="119" t="str">
        <x:v>2007/varianta_076.md</x:v>
      </x:c>
      <x:c r="N82" s="119" t="str">
        <x:v>2007/varianta_076.pdf</x:v>
      </x:c>
      <x:c r="O82" s="119" t="str">
        <x:v>Nu există în folder</x:v>
      </x:c>
      <x:c r="P82" s="123" t="str"/>
    </x:row>
    <x:row r="83">
      <x:c r="A83" s="118" t="n">
        <x:v>77</x:v>
      </x:c>
      <x:c r="B83" s="119" t="n">
        <x:v>2007</x:v>
      </x:c>
      <x:c r="C83" s="119" t="str">
        <x:v>Testare Națională</x:v>
      </x:c>
      <x:c r="D83" s="119" t="str">
        <x:v>Varianta 077</x:v>
      </x:c>
      <x:c r="E83" s="120" t="str">
        <x:v>Neînceput</x:v>
      </x:c>
      <x:c r="F83" s="120" t="str">
        <x:v>Normal</x:v>
      </x:c>
      <x:c r="G83" s="121" t="n">
        <x:f>IF($E83="Amânat",0,Setari!$B$6)</x:f>
        <x:v>20</x:v>
      </x:c>
      <x:c r="H83" s="121" t="n">
        <x:f>IF($E83="Amânat",0,Setari!$B$7)</x:f>
        <x:v>15</x:v>
      </x:c>
      <x:c r="I83" s="121" t="n">
        <x:f>IF($E83="Amânat",0,Setari!$B$8)</x:f>
        <x:v>8</x:v>
      </x:c>
      <x:c r="J83" s="121" t="n">
        <x:f>IF($E83="Amânat",0,Setari!$B$9)</x:f>
        <x:v>5</x:v>
      </x:c>
      <x:c r="K83" s="121" t="n">
        <x:f>SUM(G83:J83)</x:f>
        <x:v>48</x:v>
      </x:c>
      <x:c r="L83" s="122" t="n">
        <x:f>K83/60</x:f>
        <x:v>0.8</x:v>
      </x:c>
      <x:c r="M83" s="119" t="str">
        <x:v>2007/varianta_077.md</x:v>
      </x:c>
      <x:c r="N83" s="119" t="str">
        <x:v>2007/varianta_077.pdf</x:v>
      </x:c>
      <x:c r="O83" s="119" t="str">
        <x:v>Nu există în folder</x:v>
      </x:c>
      <x:c r="P83" s="123" t="str"/>
    </x:row>
    <x:row r="84">
      <x:c r="A84" s="118" t="n">
        <x:v>78</x:v>
      </x:c>
      <x:c r="B84" s="119" t="n">
        <x:v>2007</x:v>
      </x:c>
      <x:c r="C84" s="119" t="str">
        <x:v>Testare Națională</x:v>
      </x:c>
      <x:c r="D84" s="119" t="str">
        <x:v>Varianta 078</x:v>
      </x:c>
      <x:c r="E84" s="120" t="str">
        <x:v>Neînceput</x:v>
      </x:c>
      <x:c r="F84" s="120" t="str">
        <x:v>Normal</x:v>
      </x:c>
      <x:c r="G84" s="121" t="n">
        <x:f>IF($E84="Amânat",0,Setari!$B$6)</x:f>
        <x:v>20</x:v>
      </x:c>
      <x:c r="H84" s="121" t="n">
        <x:f>IF($E84="Amânat",0,Setari!$B$7)</x:f>
        <x:v>15</x:v>
      </x:c>
      <x:c r="I84" s="121" t="n">
        <x:f>IF($E84="Amânat",0,Setari!$B$8)</x:f>
        <x:v>8</x:v>
      </x:c>
      <x:c r="J84" s="121" t="n">
        <x:f>IF($E84="Amânat",0,Setari!$B$9)</x:f>
        <x:v>5</x:v>
      </x:c>
      <x:c r="K84" s="121" t="n">
        <x:f>SUM(G84:J84)</x:f>
        <x:v>48</x:v>
      </x:c>
      <x:c r="L84" s="122" t="n">
        <x:f>K84/60</x:f>
        <x:v>0.8</x:v>
      </x:c>
      <x:c r="M84" s="119" t="str">
        <x:v>2007/varianta_078.md</x:v>
      </x:c>
      <x:c r="N84" s="119" t="str">
        <x:v>2007/varianta_078.pdf</x:v>
      </x:c>
      <x:c r="O84" s="119" t="str">
        <x:v>Nu există în folder</x:v>
      </x:c>
      <x:c r="P84" s="123" t="str"/>
    </x:row>
    <x:row r="85">
      <x:c r="A85" s="118" t="n">
        <x:v>79</x:v>
      </x:c>
      <x:c r="B85" s="119" t="n">
        <x:v>2007</x:v>
      </x:c>
      <x:c r="C85" s="119" t="str">
        <x:v>Testare Națională</x:v>
      </x:c>
      <x:c r="D85" s="119" t="str">
        <x:v>Varianta 079</x:v>
      </x:c>
      <x:c r="E85" s="120" t="str">
        <x:v>Neînceput</x:v>
      </x:c>
      <x:c r="F85" s="120" t="str">
        <x:v>Normal</x:v>
      </x:c>
      <x:c r="G85" s="121" t="n">
        <x:f>IF($E85="Amânat",0,Setari!$B$6)</x:f>
        <x:v>20</x:v>
      </x:c>
      <x:c r="H85" s="121" t="n">
        <x:f>IF($E85="Amânat",0,Setari!$B$7)</x:f>
        <x:v>15</x:v>
      </x:c>
      <x:c r="I85" s="121" t="n">
        <x:f>IF($E85="Amânat",0,Setari!$B$8)</x:f>
        <x:v>8</x:v>
      </x:c>
      <x:c r="J85" s="121" t="n">
        <x:f>IF($E85="Amânat",0,Setari!$B$9)</x:f>
        <x:v>5</x:v>
      </x:c>
      <x:c r="K85" s="121" t="n">
        <x:f>SUM(G85:J85)</x:f>
        <x:v>48</x:v>
      </x:c>
      <x:c r="L85" s="122" t="n">
        <x:f>K85/60</x:f>
        <x:v>0.8</x:v>
      </x:c>
      <x:c r="M85" s="119" t="str">
        <x:v>2007/varianta_079.md</x:v>
      </x:c>
      <x:c r="N85" s="119" t="str">
        <x:v>2007/varianta_079.pdf</x:v>
      </x:c>
      <x:c r="O85" s="119" t="str">
        <x:v>Nu există în folder</x:v>
      </x:c>
      <x:c r="P85" s="123" t="str"/>
    </x:row>
    <x:row r="86">
      <x:c r="A86" s="118" t="n">
        <x:v>80</x:v>
      </x:c>
      <x:c r="B86" s="119" t="n">
        <x:v>2007</x:v>
      </x:c>
      <x:c r="C86" s="119" t="str">
        <x:v>Testare Națională</x:v>
      </x:c>
      <x:c r="D86" s="119" t="str">
        <x:v>Varianta 080</x:v>
      </x:c>
      <x:c r="E86" s="120" t="str">
        <x:v>Neînceput</x:v>
      </x:c>
      <x:c r="F86" s="120" t="str">
        <x:v>Normal</x:v>
      </x:c>
      <x:c r="G86" s="121" t="n">
        <x:f>IF($E86="Amânat",0,Setari!$B$6)</x:f>
        <x:v>20</x:v>
      </x:c>
      <x:c r="H86" s="121" t="n">
        <x:f>IF($E86="Amânat",0,Setari!$B$7)</x:f>
        <x:v>15</x:v>
      </x:c>
      <x:c r="I86" s="121" t="n">
        <x:f>IF($E86="Amânat",0,Setari!$B$8)</x:f>
        <x:v>8</x:v>
      </x:c>
      <x:c r="J86" s="121" t="n">
        <x:f>IF($E86="Amânat",0,Setari!$B$9)</x:f>
        <x:v>5</x:v>
      </x:c>
      <x:c r="K86" s="121" t="n">
        <x:f>SUM(G86:J86)</x:f>
        <x:v>48</x:v>
      </x:c>
      <x:c r="L86" s="122" t="n">
        <x:f>K86/60</x:f>
        <x:v>0.8</x:v>
      </x:c>
      <x:c r="M86" s="119" t="str">
        <x:v>2007/varianta_080.md</x:v>
      </x:c>
      <x:c r="N86" s="119" t="str">
        <x:v>2007/varianta_080.pdf</x:v>
      </x:c>
      <x:c r="O86" s="119" t="str">
        <x:v>Nu există în folder</x:v>
      </x:c>
      <x:c r="P86" s="123" t="str"/>
    </x:row>
    <x:row r="87">
      <x:c r="A87" s="118" t="n">
        <x:v>81</x:v>
      </x:c>
      <x:c r="B87" s="119" t="n">
        <x:v>2007</x:v>
      </x:c>
      <x:c r="C87" s="119" t="str">
        <x:v>Testare Națională</x:v>
      </x:c>
      <x:c r="D87" s="119" t="str">
        <x:v>Varianta 081</x:v>
      </x:c>
      <x:c r="E87" s="120" t="str">
        <x:v>Neînceput</x:v>
      </x:c>
      <x:c r="F87" s="120" t="str">
        <x:v>Normal</x:v>
      </x:c>
      <x:c r="G87" s="121" t="n">
        <x:f>IF($E87="Amânat",0,Setari!$B$6)</x:f>
        <x:v>20</x:v>
      </x:c>
      <x:c r="H87" s="121" t="n">
        <x:f>IF($E87="Amânat",0,Setari!$B$7)</x:f>
        <x:v>15</x:v>
      </x:c>
      <x:c r="I87" s="121" t="n">
        <x:f>IF($E87="Amânat",0,Setari!$B$8)</x:f>
        <x:v>8</x:v>
      </x:c>
      <x:c r="J87" s="121" t="n">
        <x:f>IF($E87="Amânat",0,Setari!$B$9)</x:f>
        <x:v>5</x:v>
      </x:c>
      <x:c r="K87" s="121" t="n">
        <x:f>SUM(G87:J87)</x:f>
        <x:v>48</x:v>
      </x:c>
      <x:c r="L87" s="122" t="n">
        <x:f>K87/60</x:f>
        <x:v>0.8</x:v>
      </x:c>
      <x:c r="M87" s="119" t="str">
        <x:v>2007/varianta_081.md</x:v>
      </x:c>
      <x:c r="N87" s="119" t="str">
        <x:v>2007/varianta_081.pdf</x:v>
      </x:c>
      <x:c r="O87" s="119" t="str">
        <x:v>Nu există în folder</x:v>
      </x:c>
      <x:c r="P87" s="123" t="str"/>
    </x:row>
    <x:row r="88">
      <x:c r="A88" s="118" t="n">
        <x:v>82</x:v>
      </x:c>
      <x:c r="B88" s="119" t="n">
        <x:v>2007</x:v>
      </x:c>
      <x:c r="C88" s="119" t="str">
        <x:v>Testare Națională</x:v>
      </x:c>
      <x:c r="D88" s="119" t="str">
        <x:v>Varianta 082</x:v>
      </x:c>
      <x:c r="E88" s="120" t="str">
        <x:v>Neînceput</x:v>
      </x:c>
      <x:c r="F88" s="120" t="str">
        <x:v>Normal</x:v>
      </x:c>
      <x:c r="G88" s="121" t="n">
        <x:f>IF($E88="Amânat",0,Setari!$B$6)</x:f>
        <x:v>20</x:v>
      </x:c>
      <x:c r="H88" s="121" t="n">
        <x:f>IF($E88="Amânat",0,Setari!$B$7)</x:f>
        <x:v>15</x:v>
      </x:c>
      <x:c r="I88" s="121" t="n">
        <x:f>IF($E88="Amânat",0,Setari!$B$8)</x:f>
        <x:v>8</x:v>
      </x:c>
      <x:c r="J88" s="121" t="n">
        <x:f>IF($E88="Amânat",0,Setari!$B$9)</x:f>
        <x:v>5</x:v>
      </x:c>
      <x:c r="K88" s="121" t="n">
        <x:f>SUM(G88:J88)</x:f>
        <x:v>48</x:v>
      </x:c>
      <x:c r="L88" s="122" t="n">
        <x:f>K88/60</x:f>
        <x:v>0.8</x:v>
      </x:c>
      <x:c r="M88" s="119" t="str">
        <x:v>2007/varianta_082.md</x:v>
      </x:c>
      <x:c r="N88" s="119" t="str">
        <x:v>2007/varianta_082.pdf</x:v>
      </x:c>
      <x:c r="O88" s="119" t="str">
        <x:v>Nu există în folder</x:v>
      </x:c>
      <x:c r="P88" s="123" t="str"/>
    </x:row>
    <x:row r="89">
      <x:c r="A89" s="118" t="n">
        <x:v>83</x:v>
      </x:c>
      <x:c r="B89" s="119" t="n">
        <x:v>2007</x:v>
      </x:c>
      <x:c r="C89" s="119" t="str">
        <x:v>Testare Națională</x:v>
      </x:c>
      <x:c r="D89" s="119" t="str">
        <x:v>Varianta 083</x:v>
      </x:c>
      <x:c r="E89" s="120" t="str">
        <x:v>Neînceput</x:v>
      </x:c>
      <x:c r="F89" s="120" t="str">
        <x:v>Normal</x:v>
      </x:c>
      <x:c r="G89" s="121" t="n">
        <x:f>IF($E89="Amânat",0,Setari!$B$6)</x:f>
        <x:v>20</x:v>
      </x:c>
      <x:c r="H89" s="121" t="n">
        <x:f>IF($E89="Amânat",0,Setari!$B$7)</x:f>
        <x:v>15</x:v>
      </x:c>
      <x:c r="I89" s="121" t="n">
        <x:f>IF($E89="Amânat",0,Setari!$B$8)</x:f>
        <x:v>8</x:v>
      </x:c>
      <x:c r="J89" s="121" t="n">
        <x:f>IF($E89="Amânat",0,Setari!$B$9)</x:f>
        <x:v>5</x:v>
      </x:c>
      <x:c r="K89" s="121" t="n">
        <x:f>SUM(G89:J89)</x:f>
        <x:v>48</x:v>
      </x:c>
      <x:c r="L89" s="122" t="n">
        <x:f>K89/60</x:f>
        <x:v>0.8</x:v>
      </x:c>
      <x:c r="M89" s="119" t="str">
        <x:v>2007/varianta_083.md</x:v>
      </x:c>
      <x:c r="N89" s="119" t="str">
        <x:v>2007/varianta_083.pdf</x:v>
      </x:c>
      <x:c r="O89" s="119" t="str">
        <x:v>Nu există în folder</x:v>
      </x:c>
      <x:c r="P89" s="123" t="str"/>
    </x:row>
    <x:row r="90">
      <x:c r="A90" s="118" t="n">
        <x:v>84</x:v>
      </x:c>
      <x:c r="B90" s="119" t="n">
        <x:v>2007</x:v>
      </x:c>
      <x:c r="C90" s="119" t="str">
        <x:v>Testare Națională</x:v>
      </x:c>
      <x:c r="D90" s="119" t="str">
        <x:v>Varianta 084</x:v>
      </x:c>
      <x:c r="E90" s="120" t="str">
        <x:v>Neînceput</x:v>
      </x:c>
      <x:c r="F90" s="120" t="str">
        <x:v>Normal</x:v>
      </x:c>
      <x:c r="G90" s="121" t="n">
        <x:f>IF($E90="Amânat",0,Setari!$B$6)</x:f>
        <x:v>20</x:v>
      </x:c>
      <x:c r="H90" s="121" t="n">
        <x:f>IF($E90="Amânat",0,Setari!$B$7)</x:f>
        <x:v>15</x:v>
      </x:c>
      <x:c r="I90" s="121" t="n">
        <x:f>IF($E90="Amânat",0,Setari!$B$8)</x:f>
        <x:v>8</x:v>
      </x:c>
      <x:c r="J90" s="121" t="n">
        <x:f>IF($E90="Amânat",0,Setari!$B$9)</x:f>
        <x:v>5</x:v>
      </x:c>
      <x:c r="K90" s="121" t="n">
        <x:f>SUM(G90:J90)</x:f>
        <x:v>48</x:v>
      </x:c>
      <x:c r="L90" s="122" t="n">
        <x:f>K90/60</x:f>
        <x:v>0.8</x:v>
      </x:c>
      <x:c r="M90" s="119" t="str">
        <x:v>2007/varianta_084.md</x:v>
      </x:c>
      <x:c r="N90" s="119" t="str">
        <x:v>2007/varianta_084.pdf</x:v>
      </x:c>
      <x:c r="O90" s="119" t="str">
        <x:v>Nu există în folder</x:v>
      </x:c>
      <x:c r="P90" s="123" t="str"/>
    </x:row>
    <x:row r="91">
      <x:c r="A91" s="118" t="n">
        <x:v>85</x:v>
      </x:c>
      <x:c r="B91" s="119" t="n">
        <x:v>2007</x:v>
      </x:c>
      <x:c r="C91" s="119" t="str">
        <x:v>Testare Națională</x:v>
      </x:c>
      <x:c r="D91" s="119" t="str">
        <x:v>Varianta 085</x:v>
      </x:c>
      <x:c r="E91" s="120" t="str">
        <x:v>Neînceput</x:v>
      </x:c>
      <x:c r="F91" s="120" t="str">
        <x:v>Normal</x:v>
      </x:c>
      <x:c r="G91" s="121" t="n">
        <x:f>IF($E91="Amânat",0,Setari!$B$6)</x:f>
        <x:v>20</x:v>
      </x:c>
      <x:c r="H91" s="121" t="n">
        <x:f>IF($E91="Amânat",0,Setari!$B$7)</x:f>
        <x:v>15</x:v>
      </x:c>
      <x:c r="I91" s="121" t="n">
        <x:f>IF($E91="Amânat",0,Setari!$B$8)</x:f>
        <x:v>8</x:v>
      </x:c>
      <x:c r="J91" s="121" t="n">
        <x:f>IF($E91="Amânat",0,Setari!$B$9)</x:f>
        <x:v>5</x:v>
      </x:c>
      <x:c r="K91" s="121" t="n">
        <x:f>SUM(G91:J91)</x:f>
        <x:v>48</x:v>
      </x:c>
      <x:c r="L91" s="122" t="n">
        <x:f>K91/60</x:f>
        <x:v>0.8</x:v>
      </x:c>
      <x:c r="M91" s="119" t="str">
        <x:v>2007/varianta_085.md</x:v>
      </x:c>
      <x:c r="N91" s="119" t="str">
        <x:v>2007/varianta_085.pdf</x:v>
      </x:c>
      <x:c r="O91" s="119" t="str">
        <x:v>Nu există în folder</x:v>
      </x:c>
      <x:c r="P91" s="123" t="str"/>
    </x:row>
    <x:row r="92">
      <x:c r="A92" s="118" t="n">
        <x:v>86</x:v>
      </x:c>
      <x:c r="B92" s="119" t="n">
        <x:v>2007</x:v>
      </x:c>
      <x:c r="C92" s="119" t="str">
        <x:v>Testare Națională</x:v>
      </x:c>
      <x:c r="D92" s="119" t="str">
        <x:v>Varianta 086</x:v>
      </x:c>
      <x:c r="E92" s="120" t="str">
        <x:v>Neînceput</x:v>
      </x:c>
      <x:c r="F92" s="120" t="str">
        <x:v>Normal</x:v>
      </x:c>
      <x:c r="G92" s="121" t="n">
        <x:f>IF($E92="Amânat",0,Setari!$B$6)</x:f>
        <x:v>20</x:v>
      </x:c>
      <x:c r="H92" s="121" t="n">
        <x:f>IF($E92="Amânat",0,Setari!$B$7)</x:f>
        <x:v>15</x:v>
      </x:c>
      <x:c r="I92" s="121" t="n">
        <x:f>IF($E92="Amânat",0,Setari!$B$8)</x:f>
        <x:v>8</x:v>
      </x:c>
      <x:c r="J92" s="121" t="n">
        <x:f>IF($E92="Amânat",0,Setari!$B$9)</x:f>
        <x:v>5</x:v>
      </x:c>
      <x:c r="K92" s="121" t="n">
        <x:f>SUM(G92:J92)</x:f>
        <x:v>48</x:v>
      </x:c>
      <x:c r="L92" s="122" t="n">
        <x:f>K92/60</x:f>
        <x:v>0.8</x:v>
      </x:c>
      <x:c r="M92" s="119" t="str">
        <x:v>2007/varianta_086.md</x:v>
      </x:c>
      <x:c r="N92" s="119" t="str">
        <x:v>2007/varianta_086.pdf</x:v>
      </x:c>
      <x:c r="O92" s="119" t="str">
        <x:v>Nu există în folder</x:v>
      </x:c>
      <x:c r="P92" s="123" t="str"/>
    </x:row>
    <x:row r="93">
      <x:c r="A93" s="118" t="n">
        <x:v>87</x:v>
      </x:c>
      <x:c r="B93" s="119" t="n">
        <x:v>2007</x:v>
      </x:c>
      <x:c r="C93" s="119" t="str">
        <x:v>Testare Națională</x:v>
      </x:c>
      <x:c r="D93" s="119" t="str">
        <x:v>Varianta 087</x:v>
      </x:c>
      <x:c r="E93" s="120" t="str">
        <x:v>Neînceput</x:v>
      </x:c>
      <x:c r="F93" s="120" t="str">
        <x:v>Normal</x:v>
      </x:c>
      <x:c r="G93" s="121" t="n">
        <x:f>IF($E93="Amânat",0,Setari!$B$6)</x:f>
        <x:v>20</x:v>
      </x:c>
      <x:c r="H93" s="121" t="n">
        <x:f>IF($E93="Amânat",0,Setari!$B$7)</x:f>
        <x:v>15</x:v>
      </x:c>
      <x:c r="I93" s="121" t="n">
        <x:f>IF($E93="Amânat",0,Setari!$B$8)</x:f>
        <x:v>8</x:v>
      </x:c>
      <x:c r="J93" s="121" t="n">
        <x:f>IF($E93="Amânat",0,Setari!$B$9)</x:f>
        <x:v>5</x:v>
      </x:c>
      <x:c r="K93" s="121" t="n">
        <x:f>SUM(G93:J93)</x:f>
        <x:v>48</x:v>
      </x:c>
      <x:c r="L93" s="122" t="n">
        <x:f>K93/60</x:f>
        <x:v>0.8</x:v>
      </x:c>
      <x:c r="M93" s="119" t="str">
        <x:v>2007/varianta_087.md</x:v>
      </x:c>
      <x:c r="N93" s="119" t="str">
        <x:v>2007/varianta_087.pdf</x:v>
      </x:c>
      <x:c r="O93" s="119" t="str">
        <x:v>Nu există în folder</x:v>
      </x:c>
      <x:c r="P93" s="123" t="str"/>
    </x:row>
    <x:row r="94">
      <x:c r="A94" s="118" t="n">
        <x:v>88</x:v>
      </x:c>
      <x:c r="B94" s="119" t="n">
        <x:v>2007</x:v>
      </x:c>
      <x:c r="C94" s="119" t="str">
        <x:v>Testare Națională</x:v>
      </x:c>
      <x:c r="D94" s="119" t="str">
        <x:v>Varianta 088</x:v>
      </x:c>
      <x:c r="E94" s="120" t="str">
        <x:v>Neînceput</x:v>
      </x:c>
      <x:c r="F94" s="120" t="str">
        <x:v>Normal</x:v>
      </x:c>
      <x:c r="G94" s="121" t="n">
        <x:f>IF($E94="Amânat",0,Setari!$B$6)</x:f>
        <x:v>20</x:v>
      </x:c>
      <x:c r="H94" s="121" t="n">
        <x:f>IF($E94="Amânat",0,Setari!$B$7)</x:f>
        <x:v>15</x:v>
      </x:c>
      <x:c r="I94" s="121" t="n">
        <x:f>IF($E94="Amânat",0,Setari!$B$8)</x:f>
        <x:v>8</x:v>
      </x:c>
      <x:c r="J94" s="121" t="n">
        <x:f>IF($E94="Amânat",0,Setari!$B$9)</x:f>
        <x:v>5</x:v>
      </x:c>
      <x:c r="K94" s="121" t="n">
        <x:f>SUM(G94:J94)</x:f>
        <x:v>48</x:v>
      </x:c>
      <x:c r="L94" s="122" t="n">
        <x:f>K94/60</x:f>
        <x:v>0.8</x:v>
      </x:c>
      <x:c r="M94" s="119" t="str">
        <x:v>2007/varianta_088.md</x:v>
      </x:c>
      <x:c r="N94" s="119" t="str">
        <x:v>2007/varianta_088.pdf</x:v>
      </x:c>
      <x:c r="O94" s="119" t="str">
        <x:v>Nu există în folder</x:v>
      </x:c>
      <x:c r="P94" s="123" t="str"/>
    </x:row>
    <x:row r="95">
      <x:c r="A95" s="118" t="n">
        <x:v>89</x:v>
      </x:c>
      <x:c r="B95" s="119" t="n">
        <x:v>2007</x:v>
      </x:c>
      <x:c r="C95" s="119" t="str">
        <x:v>Testare Națională</x:v>
      </x:c>
      <x:c r="D95" s="119" t="str">
        <x:v>Varianta 089</x:v>
      </x:c>
      <x:c r="E95" s="120" t="str">
        <x:v>Neînceput</x:v>
      </x:c>
      <x:c r="F95" s="120" t="str">
        <x:v>Normal</x:v>
      </x:c>
      <x:c r="G95" s="121" t="n">
        <x:f>IF($E95="Amânat",0,Setari!$B$6)</x:f>
        <x:v>20</x:v>
      </x:c>
      <x:c r="H95" s="121" t="n">
        <x:f>IF($E95="Amânat",0,Setari!$B$7)</x:f>
        <x:v>15</x:v>
      </x:c>
      <x:c r="I95" s="121" t="n">
        <x:f>IF($E95="Amânat",0,Setari!$B$8)</x:f>
        <x:v>8</x:v>
      </x:c>
      <x:c r="J95" s="121" t="n">
        <x:f>IF($E95="Amânat",0,Setari!$B$9)</x:f>
        <x:v>5</x:v>
      </x:c>
      <x:c r="K95" s="121" t="n">
        <x:f>SUM(G95:J95)</x:f>
        <x:v>48</x:v>
      </x:c>
      <x:c r="L95" s="122" t="n">
        <x:f>K95/60</x:f>
        <x:v>0.8</x:v>
      </x:c>
      <x:c r="M95" s="119" t="str">
        <x:v>2007/varianta_089.md</x:v>
      </x:c>
      <x:c r="N95" s="119" t="str">
        <x:v>2007/varianta_089.pdf</x:v>
      </x:c>
      <x:c r="O95" s="119" t="str">
        <x:v>Nu există în folder</x:v>
      </x:c>
      <x:c r="P95" s="123" t="str"/>
    </x:row>
    <x:row r="96">
      <x:c r="A96" s="118" t="n">
        <x:v>90</x:v>
      </x:c>
      <x:c r="B96" s="119" t="n">
        <x:v>2007</x:v>
      </x:c>
      <x:c r="C96" s="119" t="str">
        <x:v>Testare Națională</x:v>
      </x:c>
      <x:c r="D96" s="119" t="str">
        <x:v>Varianta 090</x:v>
      </x:c>
      <x:c r="E96" s="120" t="str">
        <x:v>Neînceput</x:v>
      </x:c>
      <x:c r="F96" s="120" t="str">
        <x:v>Normal</x:v>
      </x:c>
      <x:c r="G96" s="121" t="n">
        <x:f>IF($E96="Amânat",0,Setari!$B$6)</x:f>
        <x:v>20</x:v>
      </x:c>
      <x:c r="H96" s="121" t="n">
        <x:f>IF($E96="Amânat",0,Setari!$B$7)</x:f>
        <x:v>15</x:v>
      </x:c>
      <x:c r="I96" s="121" t="n">
        <x:f>IF($E96="Amânat",0,Setari!$B$8)</x:f>
        <x:v>8</x:v>
      </x:c>
      <x:c r="J96" s="121" t="n">
        <x:f>IF($E96="Amânat",0,Setari!$B$9)</x:f>
        <x:v>5</x:v>
      </x:c>
      <x:c r="K96" s="121" t="n">
        <x:f>SUM(G96:J96)</x:f>
        <x:v>48</x:v>
      </x:c>
      <x:c r="L96" s="122" t="n">
        <x:f>K96/60</x:f>
        <x:v>0.8</x:v>
      </x:c>
      <x:c r="M96" s="119" t="str">
        <x:v>2007/varianta_090.md</x:v>
      </x:c>
      <x:c r="N96" s="119" t="str">
        <x:v>2007/varianta_090.pdf</x:v>
      </x:c>
      <x:c r="O96" s="119" t="str">
        <x:v>Nu există în folder</x:v>
      </x:c>
      <x:c r="P96" s="123" t="str"/>
    </x:row>
    <x:row r="97">
      <x:c r="A97" s="118" t="n">
        <x:v>91</x:v>
      </x:c>
      <x:c r="B97" s="119" t="n">
        <x:v>2007</x:v>
      </x:c>
      <x:c r="C97" s="119" t="str">
        <x:v>Testare Națională</x:v>
      </x:c>
      <x:c r="D97" s="119" t="str">
        <x:v>Varianta 091</x:v>
      </x:c>
      <x:c r="E97" s="120" t="str">
        <x:v>Neînceput</x:v>
      </x:c>
      <x:c r="F97" s="120" t="str">
        <x:v>Normal</x:v>
      </x:c>
      <x:c r="G97" s="121" t="n">
        <x:f>IF($E97="Amânat",0,Setari!$B$6)</x:f>
        <x:v>20</x:v>
      </x:c>
      <x:c r="H97" s="121" t="n">
        <x:f>IF($E97="Amânat",0,Setari!$B$7)</x:f>
        <x:v>15</x:v>
      </x:c>
      <x:c r="I97" s="121" t="n">
        <x:f>IF($E97="Amânat",0,Setari!$B$8)</x:f>
        <x:v>8</x:v>
      </x:c>
      <x:c r="J97" s="121" t="n">
        <x:f>IF($E97="Amânat",0,Setari!$B$9)</x:f>
        <x:v>5</x:v>
      </x:c>
      <x:c r="K97" s="121" t="n">
        <x:f>SUM(G97:J97)</x:f>
        <x:v>48</x:v>
      </x:c>
      <x:c r="L97" s="122" t="n">
        <x:f>K97/60</x:f>
        <x:v>0.8</x:v>
      </x:c>
      <x:c r="M97" s="119" t="str">
        <x:v>2007/varianta_091.md</x:v>
      </x:c>
      <x:c r="N97" s="119" t="str">
        <x:v>2007/varianta_091.pdf</x:v>
      </x:c>
      <x:c r="O97" s="119" t="str">
        <x:v>Nu există în folder</x:v>
      </x:c>
      <x:c r="P97" s="123" t="str"/>
    </x:row>
    <x:row r="98">
      <x:c r="A98" s="118" t="n">
        <x:v>92</x:v>
      </x:c>
      <x:c r="B98" s="119" t="n">
        <x:v>2007</x:v>
      </x:c>
      <x:c r="C98" s="119" t="str">
        <x:v>Testare Națională</x:v>
      </x:c>
      <x:c r="D98" s="119" t="str">
        <x:v>Varianta 092</x:v>
      </x:c>
      <x:c r="E98" s="120" t="str">
        <x:v>Neînceput</x:v>
      </x:c>
      <x:c r="F98" s="120" t="str">
        <x:v>Normal</x:v>
      </x:c>
      <x:c r="G98" s="121" t="n">
        <x:f>IF($E98="Amânat",0,Setari!$B$6)</x:f>
        <x:v>20</x:v>
      </x:c>
      <x:c r="H98" s="121" t="n">
        <x:f>IF($E98="Amânat",0,Setari!$B$7)</x:f>
        <x:v>15</x:v>
      </x:c>
      <x:c r="I98" s="121" t="n">
        <x:f>IF($E98="Amânat",0,Setari!$B$8)</x:f>
        <x:v>8</x:v>
      </x:c>
      <x:c r="J98" s="121" t="n">
        <x:f>IF($E98="Amânat",0,Setari!$B$9)</x:f>
        <x:v>5</x:v>
      </x:c>
      <x:c r="K98" s="121" t="n">
        <x:f>SUM(G98:J98)</x:f>
        <x:v>48</x:v>
      </x:c>
      <x:c r="L98" s="122" t="n">
        <x:f>K98/60</x:f>
        <x:v>0.8</x:v>
      </x:c>
      <x:c r="M98" s="119" t="str">
        <x:v>2007/varianta_092.md</x:v>
      </x:c>
      <x:c r="N98" s="119" t="str">
        <x:v>2007/varianta_092.pdf</x:v>
      </x:c>
      <x:c r="O98" s="119" t="str">
        <x:v>Nu există în folder</x:v>
      </x:c>
      <x:c r="P98" s="123" t="str"/>
    </x:row>
    <x:row r="99">
      <x:c r="A99" s="118" t="n">
        <x:v>93</x:v>
      </x:c>
      <x:c r="B99" s="119" t="n">
        <x:v>2007</x:v>
      </x:c>
      <x:c r="C99" s="119" t="str">
        <x:v>Testare Națională</x:v>
      </x:c>
      <x:c r="D99" s="119" t="str">
        <x:v>Varianta 093</x:v>
      </x:c>
      <x:c r="E99" s="120" t="str">
        <x:v>Neînceput</x:v>
      </x:c>
      <x:c r="F99" s="120" t="str">
        <x:v>Normal</x:v>
      </x:c>
      <x:c r="G99" s="121" t="n">
        <x:f>IF($E99="Amânat",0,Setari!$B$6)</x:f>
        <x:v>20</x:v>
      </x:c>
      <x:c r="H99" s="121" t="n">
        <x:f>IF($E99="Amânat",0,Setari!$B$7)</x:f>
        <x:v>15</x:v>
      </x:c>
      <x:c r="I99" s="121" t="n">
        <x:f>IF($E99="Amânat",0,Setari!$B$8)</x:f>
        <x:v>8</x:v>
      </x:c>
      <x:c r="J99" s="121" t="n">
        <x:f>IF($E99="Amânat",0,Setari!$B$9)</x:f>
        <x:v>5</x:v>
      </x:c>
      <x:c r="K99" s="121" t="n">
        <x:f>SUM(G99:J99)</x:f>
        <x:v>48</x:v>
      </x:c>
      <x:c r="L99" s="122" t="n">
        <x:f>K99/60</x:f>
        <x:v>0.8</x:v>
      </x:c>
      <x:c r="M99" s="119" t="str">
        <x:v>2007/varianta_093.md</x:v>
      </x:c>
      <x:c r="N99" s="119" t="str">
        <x:v>2007/varianta_093.pdf</x:v>
      </x:c>
      <x:c r="O99" s="119" t="str">
        <x:v>Nu există în folder</x:v>
      </x:c>
      <x:c r="P99" s="123" t="str"/>
    </x:row>
    <x:row r="100">
      <x:c r="A100" s="118" t="n">
        <x:v>94</x:v>
      </x:c>
      <x:c r="B100" s="119" t="n">
        <x:v>2007</x:v>
      </x:c>
      <x:c r="C100" s="119" t="str">
        <x:v>Testare Națională</x:v>
      </x:c>
      <x:c r="D100" s="119" t="str">
        <x:v>Varianta 094</x:v>
      </x:c>
      <x:c r="E100" s="120" t="str">
        <x:v>Neînceput</x:v>
      </x:c>
      <x:c r="F100" s="120" t="str">
        <x:v>Normal</x:v>
      </x:c>
      <x:c r="G100" s="121" t="n">
        <x:f>IF($E100="Amânat",0,Setari!$B$6)</x:f>
        <x:v>20</x:v>
      </x:c>
      <x:c r="H100" s="121" t="n">
        <x:f>IF($E100="Amânat",0,Setari!$B$7)</x:f>
        <x:v>15</x:v>
      </x:c>
      <x:c r="I100" s="121" t="n">
        <x:f>IF($E100="Amânat",0,Setari!$B$8)</x:f>
        <x:v>8</x:v>
      </x:c>
      <x:c r="J100" s="121" t="n">
        <x:f>IF($E100="Amânat",0,Setari!$B$9)</x:f>
        <x:v>5</x:v>
      </x:c>
      <x:c r="K100" s="121" t="n">
        <x:f>SUM(G100:J100)</x:f>
        <x:v>48</x:v>
      </x:c>
      <x:c r="L100" s="122" t="n">
        <x:f>K100/60</x:f>
        <x:v>0.8</x:v>
      </x:c>
      <x:c r="M100" s="119" t="str">
        <x:v>2007/varianta_094.md</x:v>
      </x:c>
      <x:c r="N100" s="119" t="str">
        <x:v>2007/varianta_094.pdf</x:v>
      </x:c>
      <x:c r="O100" s="119" t="str">
        <x:v>Nu există în folder</x:v>
      </x:c>
      <x:c r="P100" s="123" t="str"/>
    </x:row>
    <x:row r="101">
      <x:c r="A101" s="118" t="n">
        <x:v>95</x:v>
      </x:c>
      <x:c r="B101" s="119" t="n">
        <x:v>2007</x:v>
      </x:c>
      <x:c r="C101" s="119" t="str">
        <x:v>Testare Națională</x:v>
      </x:c>
      <x:c r="D101" s="119" t="str">
        <x:v>Varianta 095</x:v>
      </x:c>
      <x:c r="E101" s="120" t="str">
        <x:v>Neînceput</x:v>
      </x:c>
      <x:c r="F101" s="120" t="str">
        <x:v>Normal</x:v>
      </x:c>
      <x:c r="G101" s="121" t="n">
        <x:f>IF($E101="Amânat",0,Setari!$B$6)</x:f>
        <x:v>20</x:v>
      </x:c>
      <x:c r="H101" s="121" t="n">
        <x:f>IF($E101="Amânat",0,Setari!$B$7)</x:f>
        <x:v>15</x:v>
      </x:c>
      <x:c r="I101" s="121" t="n">
        <x:f>IF($E101="Amânat",0,Setari!$B$8)</x:f>
        <x:v>8</x:v>
      </x:c>
      <x:c r="J101" s="121" t="n">
        <x:f>IF($E101="Amânat",0,Setari!$B$9)</x:f>
        <x:v>5</x:v>
      </x:c>
      <x:c r="K101" s="121" t="n">
        <x:f>SUM(G101:J101)</x:f>
        <x:v>48</x:v>
      </x:c>
      <x:c r="L101" s="122" t="n">
        <x:f>K101/60</x:f>
        <x:v>0.8</x:v>
      </x:c>
      <x:c r="M101" s="119" t="str">
        <x:v>2007/varianta_095.md</x:v>
      </x:c>
      <x:c r="N101" s="119" t="str">
        <x:v>2007/varianta_095.pdf</x:v>
      </x:c>
      <x:c r="O101" s="119" t="str">
        <x:v>Nu există în folder</x:v>
      </x:c>
      <x:c r="P101" s="123" t="str"/>
    </x:row>
    <x:row r="102">
      <x:c r="A102" s="118" t="n">
        <x:v>96</x:v>
      </x:c>
      <x:c r="B102" s="119" t="n">
        <x:v>2007</x:v>
      </x:c>
      <x:c r="C102" s="119" t="str">
        <x:v>Testare Națională</x:v>
      </x:c>
      <x:c r="D102" s="119" t="str">
        <x:v>Varianta 096</x:v>
      </x:c>
      <x:c r="E102" s="120" t="str">
        <x:v>Neînceput</x:v>
      </x:c>
      <x:c r="F102" s="120" t="str">
        <x:v>Normal</x:v>
      </x:c>
      <x:c r="G102" s="121" t="n">
        <x:f>IF($E102="Amânat",0,Setari!$B$6)</x:f>
        <x:v>20</x:v>
      </x:c>
      <x:c r="H102" s="121" t="n">
        <x:f>IF($E102="Amânat",0,Setari!$B$7)</x:f>
        <x:v>15</x:v>
      </x:c>
      <x:c r="I102" s="121" t="n">
        <x:f>IF($E102="Amânat",0,Setari!$B$8)</x:f>
        <x:v>8</x:v>
      </x:c>
      <x:c r="J102" s="121" t="n">
        <x:f>IF($E102="Amânat",0,Setari!$B$9)</x:f>
        <x:v>5</x:v>
      </x:c>
      <x:c r="K102" s="121" t="n">
        <x:f>SUM(G102:J102)</x:f>
        <x:v>48</x:v>
      </x:c>
      <x:c r="L102" s="122" t="n">
        <x:f>K102/60</x:f>
        <x:v>0.8</x:v>
      </x:c>
      <x:c r="M102" s="119" t="str">
        <x:v>2007/varianta_096.md</x:v>
      </x:c>
      <x:c r="N102" s="119" t="str">
        <x:v>2007/varianta_096.pdf</x:v>
      </x:c>
      <x:c r="O102" s="119" t="str">
        <x:v>Nu există în folder</x:v>
      </x:c>
      <x:c r="P102" s="123" t="str"/>
    </x:row>
    <x:row r="103">
      <x:c r="A103" s="118" t="n">
        <x:v>97</x:v>
      </x:c>
      <x:c r="B103" s="119" t="n">
        <x:v>2007</x:v>
      </x:c>
      <x:c r="C103" s="119" t="str">
        <x:v>Testare Națională</x:v>
      </x:c>
      <x:c r="D103" s="119" t="str">
        <x:v>Varianta 097</x:v>
      </x:c>
      <x:c r="E103" s="120" t="str">
        <x:v>Neînceput</x:v>
      </x:c>
      <x:c r="F103" s="120" t="str">
        <x:v>Normal</x:v>
      </x:c>
      <x:c r="G103" s="121" t="n">
        <x:f>IF($E103="Amânat",0,Setari!$B$6)</x:f>
        <x:v>20</x:v>
      </x:c>
      <x:c r="H103" s="121" t="n">
        <x:f>IF($E103="Amânat",0,Setari!$B$7)</x:f>
        <x:v>15</x:v>
      </x:c>
      <x:c r="I103" s="121" t="n">
        <x:f>IF($E103="Amânat",0,Setari!$B$8)</x:f>
        <x:v>8</x:v>
      </x:c>
      <x:c r="J103" s="121" t="n">
        <x:f>IF($E103="Amânat",0,Setari!$B$9)</x:f>
        <x:v>5</x:v>
      </x:c>
      <x:c r="K103" s="121" t="n">
        <x:f>SUM(G103:J103)</x:f>
        <x:v>48</x:v>
      </x:c>
      <x:c r="L103" s="122" t="n">
        <x:f>K103/60</x:f>
        <x:v>0.8</x:v>
      </x:c>
      <x:c r="M103" s="119" t="str">
        <x:v>2007/varianta_097.md</x:v>
      </x:c>
      <x:c r="N103" s="119" t="str">
        <x:v>2007/varianta_097.pdf</x:v>
      </x:c>
      <x:c r="O103" s="119" t="str">
        <x:v>Nu există în folder</x:v>
      </x:c>
      <x:c r="P103" s="123" t="str"/>
    </x:row>
    <x:row r="104">
      <x:c r="A104" s="118" t="n">
        <x:v>98</x:v>
      </x:c>
      <x:c r="B104" s="119" t="n">
        <x:v>2007</x:v>
      </x:c>
      <x:c r="C104" s="119" t="str">
        <x:v>Testare Națională</x:v>
      </x:c>
      <x:c r="D104" s="119" t="str">
        <x:v>Varianta 098</x:v>
      </x:c>
      <x:c r="E104" s="120" t="str">
        <x:v>Neînceput</x:v>
      </x:c>
      <x:c r="F104" s="120" t="str">
        <x:v>Normal</x:v>
      </x:c>
      <x:c r="G104" s="121" t="n">
        <x:f>IF($E104="Amânat",0,Setari!$B$6)</x:f>
        <x:v>20</x:v>
      </x:c>
      <x:c r="H104" s="121" t="n">
        <x:f>IF($E104="Amânat",0,Setari!$B$7)</x:f>
        <x:v>15</x:v>
      </x:c>
      <x:c r="I104" s="121" t="n">
        <x:f>IF($E104="Amânat",0,Setari!$B$8)</x:f>
        <x:v>8</x:v>
      </x:c>
      <x:c r="J104" s="121" t="n">
        <x:f>IF($E104="Amânat",0,Setari!$B$9)</x:f>
        <x:v>5</x:v>
      </x:c>
      <x:c r="K104" s="121" t="n">
        <x:f>SUM(G104:J104)</x:f>
        <x:v>48</x:v>
      </x:c>
      <x:c r="L104" s="122" t="n">
        <x:f>K104/60</x:f>
        <x:v>0.8</x:v>
      </x:c>
      <x:c r="M104" s="119" t="str">
        <x:v>2007/varianta_098.md</x:v>
      </x:c>
      <x:c r="N104" s="119" t="str">
        <x:v>2007/varianta_098.pdf</x:v>
      </x:c>
      <x:c r="O104" s="119" t="str">
        <x:v>Nu există în folder</x:v>
      </x:c>
      <x:c r="P104" s="123" t="str"/>
    </x:row>
    <x:row r="105">
      <x:c r="A105" s="118" t="n">
        <x:v>99</x:v>
      </x:c>
      <x:c r="B105" s="119" t="n">
        <x:v>2007</x:v>
      </x:c>
      <x:c r="C105" s="119" t="str">
        <x:v>Testare Națională</x:v>
      </x:c>
      <x:c r="D105" s="119" t="str">
        <x:v>Varianta 099</x:v>
      </x:c>
      <x:c r="E105" s="120" t="str">
        <x:v>Neînceput</x:v>
      </x:c>
      <x:c r="F105" s="120" t="str">
        <x:v>Normal</x:v>
      </x:c>
      <x:c r="G105" s="121" t="n">
        <x:f>IF($E105="Amânat",0,Setari!$B$6)</x:f>
        <x:v>20</x:v>
      </x:c>
      <x:c r="H105" s="121" t="n">
        <x:f>IF($E105="Amânat",0,Setari!$B$7)</x:f>
        <x:v>15</x:v>
      </x:c>
      <x:c r="I105" s="121" t="n">
        <x:f>IF($E105="Amânat",0,Setari!$B$8)</x:f>
        <x:v>8</x:v>
      </x:c>
      <x:c r="J105" s="121" t="n">
        <x:f>IF($E105="Amânat",0,Setari!$B$9)</x:f>
        <x:v>5</x:v>
      </x:c>
      <x:c r="K105" s="121" t="n">
        <x:f>SUM(G105:J105)</x:f>
        <x:v>48</x:v>
      </x:c>
      <x:c r="L105" s="122" t="n">
        <x:f>K105/60</x:f>
        <x:v>0.8</x:v>
      </x:c>
      <x:c r="M105" s="119" t="str">
        <x:v>2007/varianta_099.md</x:v>
      </x:c>
      <x:c r="N105" s="119" t="str">
        <x:v>2007/varianta_099.pdf</x:v>
      </x:c>
      <x:c r="O105" s="119" t="str">
        <x:v>Nu există în folder</x:v>
      </x:c>
      <x:c r="P105" s="123" t="str"/>
    </x:row>
    <x:row r="106">
      <x:c r="A106" s="118" t="n">
        <x:v>100</x:v>
      </x:c>
      <x:c r="B106" s="119" t="n">
        <x:v>2007</x:v>
      </x:c>
      <x:c r="C106" s="119" t="str">
        <x:v>Testare Națională</x:v>
      </x:c>
      <x:c r="D106" s="119" t="str">
        <x:v>Varianta 100</x:v>
      </x:c>
      <x:c r="E106" s="120" t="str">
        <x:v>Neînceput</x:v>
      </x:c>
      <x:c r="F106" s="120" t="str">
        <x:v>Normal</x:v>
      </x:c>
      <x:c r="G106" s="121" t="n">
        <x:f>IF($E106="Amânat",0,Setari!$B$6)</x:f>
        <x:v>20</x:v>
      </x:c>
      <x:c r="H106" s="121" t="n">
        <x:f>IF($E106="Amânat",0,Setari!$B$7)</x:f>
        <x:v>15</x:v>
      </x:c>
      <x:c r="I106" s="121" t="n">
        <x:f>IF($E106="Amânat",0,Setari!$B$8)</x:f>
        <x:v>8</x:v>
      </x:c>
      <x:c r="J106" s="121" t="n">
        <x:f>IF($E106="Amânat",0,Setari!$B$9)</x:f>
        <x:v>5</x:v>
      </x:c>
      <x:c r="K106" s="121" t="n">
        <x:f>SUM(G106:J106)</x:f>
        <x:v>48</x:v>
      </x:c>
      <x:c r="L106" s="122" t="n">
        <x:f>K106/60</x:f>
        <x:v>0.8</x:v>
      </x:c>
      <x:c r="M106" s="119" t="str">
        <x:v>2007/varianta_100.md</x:v>
      </x:c>
      <x:c r="N106" s="119" t="str">
        <x:v>2007/varianta_100.pdf</x:v>
      </x:c>
      <x:c r="O106" s="119" t="str">
        <x:v>Nu există în folder</x:v>
      </x:c>
      <x:c r="P106" s="123" t="str"/>
    </x:row>
    <x:row r="107">
      <x:c r="A107" s="118" t="n">
        <x:v>101</x:v>
      </x:c>
      <x:c r="B107" s="119" t="n">
        <x:v>2010</x:v>
      </x:c>
      <x:c r="C107" s="119" t="str">
        <x:v>Examen</x:v>
      </x:c>
      <x:c r="D107" s="119" t="str">
        <x:v>2010 EN Matematică Examen Subiect 05</x:v>
      </x:c>
      <x:c r="E107" s="120" t="str">
        <x:v>Neînceput</x:v>
      </x:c>
      <x:c r="F107" s="120" t="str">
        <x:v>Normal</x:v>
      </x:c>
      <x:c r="G107" s="121" t="n">
        <x:f>IF($E107="Amânat",0,Setari!$B$6)</x:f>
        <x:v>20</x:v>
      </x:c>
      <x:c r="H107" s="121" t="n">
        <x:f>IF($E107="Amânat",0,Setari!$B$7)</x:f>
        <x:v>15</x:v>
      </x:c>
      <x:c r="I107" s="121" t="n">
        <x:f>IF($E107="Amânat",0,Setari!$B$8)</x:f>
        <x:v>8</x:v>
      </x:c>
      <x:c r="J107" s="121" t="n">
        <x:f>IF($E107="Amânat",0,Setari!$B$9)</x:f>
        <x:v>5</x:v>
      </x:c>
      <x:c r="K107" s="121" t="n">
        <x:f>SUM(G107:J107)</x:f>
        <x:v>48</x:v>
      </x:c>
      <x:c r="L107" s="122" t="n">
        <x:f>K107/60</x:f>
        <x:v>0.8</x:v>
      </x:c>
      <x:c r="M107" s="119" t="str">
        <x:v>2010/2010_EN_Matematica_Examen_Subiect_05_LRO.md</x:v>
      </x:c>
      <x:c r="N107" s="119" t="str">
        <x:v>2010/2010_EN_Matematica_Examen_Subiect_05_LRO.pdf</x:v>
      </x:c>
      <x:c r="O107" s="119" t="str">
        <x:v>2010/2010_EN_Matematica_Examen_Barem_05_LRO.md + .pdf</x:v>
      </x:c>
      <x:c r="P107" s="123" t="str"/>
    </x:row>
    <x:row r="108">
      <x:c r="A108" s="118" t="n">
        <x:v>102</x:v>
      </x:c>
      <x:c r="B108" s="119" t="n">
        <x:v>2010</x:v>
      </x:c>
      <x:c r="C108" s="119" t="str">
        <x:v>Model</x:v>
      </x:c>
      <x:c r="D108" s="119" t="str">
        <x:v>2010 EN Matematică Model Subiect</x:v>
      </x:c>
      <x:c r="E108" s="120" t="str">
        <x:v>Neînceput</x:v>
      </x:c>
      <x:c r="F108" s="120" t="str">
        <x:v>Normal</x:v>
      </x:c>
      <x:c r="G108" s="121" t="n">
        <x:f>IF($E108="Amânat",0,Setari!$B$6)</x:f>
        <x:v>20</x:v>
      </x:c>
      <x:c r="H108" s="121" t="n">
        <x:f>IF($E108="Amânat",0,Setari!$B$7)</x:f>
        <x:v>15</x:v>
      </x:c>
      <x:c r="I108" s="121" t="n">
        <x:f>IF($E108="Amânat",0,Setari!$B$8)</x:f>
        <x:v>8</x:v>
      </x:c>
      <x:c r="J108" s="121" t="n">
        <x:f>IF($E108="Amânat",0,Setari!$B$9)</x:f>
        <x:v>5</x:v>
      </x:c>
      <x:c r="K108" s="121" t="n">
        <x:f>SUM(G108:J108)</x:f>
        <x:v>48</x:v>
      </x:c>
      <x:c r="L108" s="122" t="n">
        <x:f>K108/60</x:f>
        <x:v>0.8</x:v>
      </x:c>
      <x:c r="M108" s="119" t="str">
        <x:v>2010/2010_EN_Matematica_Model_Subiect_LRO.md</x:v>
      </x:c>
      <x:c r="N108" s="119" t="str">
        <x:v>2010/2010_EN_Matematica_Model_Subiect_LRO.pdf</x:v>
      </x:c>
      <x:c r="O108" s="119" t="str">
        <x:v>2010/2010_EN_Matematica_Model_Barem_LRO.md + .pdf</x:v>
      </x:c>
      <x:c r="P108" s="123" t="str"/>
    </x:row>
    <x:row r="109">
      <x:c r="A109" s="118" t="n">
        <x:v>103</x:v>
      </x:c>
      <x:c r="B109" s="119" t="n">
        <x:v>2010</x:v>
      </x:c>
      <x:c r="C109" s="119" t="str">
        <x:v>Sesiunea specială</x:v>
      </x:c>
      <x:c r="D109" s="119" t="str">
        <x:v>2010 EN Matematică Sesiunea Speciala Subiect 07</x:v>
      </x:c>
      <x:c r="E109" s="120" t="str">
        <x:v>Neînceput</x:v>
      </x:c>
      <x:c r="F109" s="120" t="str">
        <x:v>Normal</x:v>
      </x:c>
      <x:c r="G109" s="121" t="n">
        <x:f>IF($E109="Amânat",0,Setari!$B$6)</x:f>
        <x:v>20</x:v>
      </x:c>
      <x:c r="H109" s="121" t="n">
        <x:f>IF($E109="Amânat",0,Setari!$B$7)</x:f>
        <x:v>15</x:v>
      </x:c>
      <x:c r="I109" s="121" t="n">
        <x:f>IF($E109="Amânat",0,Setari!$B$8)</x:f>
        <x:v>8</x:v>
      </x:c>
      <x:c r="J109" s="121" t="n">
        <x:f>IF($E109="Amânat",0,Setari!$B$9)</x:f>
        <x:v>5</x:v>
      </x:c>
      <x:c r="K109" s="121" t="n">
        <x:f>SUM(G109:J109)</x:f>
        <x:v>48</x:v>
      </x:c>
      <x:c r="L109" s="122" t="n">
        <x:f>K109/60</x:f>
        <x:v>0.8</x:v>
      </x:c>
      <x:c r="M109" s="119" t="str">
        <x:v>2010/2010_EN_Matematica_Sesiunea_Speciala_Subiect_07_LRO.md</x:v>
      </x:c>
      <x:c r="N109" s="119" t="str">
        <x:v>2010/2010_EN_Matematica_Sesiunea_Speciala_Subiect_07_LRO.pdf</x:v>
      </x:c>
      <x:c r="O109" s="119" t="str">
        <x:v>2010/2010_EN_Matematica_Sesiunea_Speciala_Barem_07_LRO.md + .pdf</x:v>
      </x:c>
      <x:c r="P109" s="123" t="str"/>
    </x:row>
    <x:row r="110">
      <x:c r="A110" s="118" t="n">
        <x:v>104</x:v>
      </x:c>
      <x:c r="B110" s="119" t="n">
        <x:v>2011</x:v>
      </x:c>
      <x:c r="C110" s="119" t="str">
        <x:v>Examen</x:v>
      </x:c>
      <x:c r="D110" s="119" t="str">
        <x:v>2011 EN Matematică Examen Subiect 08</x:v>
      </x:c>
      <x:c r="E110" s="120" t="str">
        <x:v>Neînceput</x:v>
      </x:c>
      <x:c r="F110" s="120" t="str">
        <x:v>Normal</x:v>
      </x:c>
      <x:c r="G110" s="121" t="n">
        <x:f>IF($E110="Amânat",0,Setari!$B$6)</x:f>
        <x:v>20</x:v>
      </x:c>
      <x:c r="H110" s="121" t="n">
        <x:f>IF($E110="Amânat",0,Setari!$B$7)</x:f>
        <x:v>15</x:v>
      </x:c>
      <x:c r="I110" s="121" t="n">
        <x:f>IF($E110="Amânat",0,Setari!$B$8)</x:f>
        <x:v>8</x:v>
      </x:c>
      <x:c r="J110" s="121" t="n">
        <x:f>IF($E110="Amânat",0,Setari!$B$9)</x:f>
        <x:v>5</x:v>
      </x:c>
      <x:c r="K110" s="121" t="n">
        <x:f>SUM(G110:J110)</x:f>
        <x:v>48</x:v>
      </x:c>
      <x:c r="L110" s="122" t="n">
        <x:f>K110/60</x:f>
        <x:v>0.8</x:v>
      </x:c>
      <x:c r="M110" s="119" t="str">
        <x:v>2011/2011_EN_Matematica_Examen_Subiect_08_LRO.md</x:v>
      </x:c>
      <x:c r="N110" s="119" t="str">
        <x:v>2011/2011_EN_Matematica_Examen_Subiect_08_LRO.pdf</x:v>
      </x:c>
      <x:c r="O110" s="119" t="str">
        <x:v>2011/2011_EN_Matematica_Examen_Barem_08_LRO.md + .pdf</x:v>
      </x:c>
      <x:c r="P110" s="123" t="str"/>
    </x:row>
    <x:row r="111">
      <x:c r="A111" s="118" t="n">
        <x:v>105</x:v>
      </x:c>
      <x:c r="B111" s="119" t="n">
        <x:v>2011</x:v>
      </x:c>
      <x:c r="C111" s="119" t="str">
        <x:v>Model</x:v>
      </x:c>
      <x:c r="D111" s="119" t="str">
        <x:v>2011 EN Matematică Model Subiect</x:v>
      </x:c>
      <x:c r="E111" s="120" t="str">
        <x:v>Neînceput</x:v>
      </x:c>
      <x:c r="F111" s="120" t="str">
        <x:v>Normal</x:v>
      </x:c>
      <x:c r="G111" s="121" t="n">
        <x:f>IF($E111="Amânat",0,Setari!$B$6)</x:f>
        <x:v>20</x:v>
      </x:c>
      <x:c r="H111" s="121" t="n">
        <x:f>IF($E111="Amânat",0,Setari!$B$7)</x:f>
        <x:v>15</x:v>
      </x:c>
      <x:c r="I111" s="121" t="n">
        <x:f>IF($E111="Amânat",0,Setari!$B$8)</x:f>
        <x:v>8</x:v>
      </x:c>
      <x:c r="J111" s="121" t="n">
        <x:f>IF($E111="Amânat",0,Setari!$B$9)</x:f>
        <x:v>5</x:v>
      </x:c>
      <x:c r="K111" s="121" t="n">
        <x:f>SUM(G111:J111)</x:f>
        <x:v>48</x:v>
      </x:c>
      <x:c r="L111" s="122" t="n">
        <x:f>K111/60</x:f>
        <x:v>0.8</x:v>
      </x:c>
      <x:c r="M111" s="119" t="str">
        <x:v>2011/2011_EN_Matematica_Model_Subiect_LRO.md</x:v>
      </x:c>
      <x:c r="N111" s="119" t="str">
        <x:v>2011/2011_EN_Matematica_Model_Subiect_LRO.pdf</x:v>
      </x:c>
      <x:c r="O111" s="119" t="str">
        <x:v>2011/2011_EN_Matematica_Model_Barem_LRO.md + .pdf</x:v>
      </x:c>
      <x:c r="P111" s="123" t="str"/>
    </x:row>
    <x:row r="112">
      <x:c r="A112" s="118" t="n">
        <x:v>106</x:v>
      </x:c>
      <x:c r="B112" s="119" t="n">
        <x:v>2011</x:v>
      </x:c>
      <x:c r="C112" s="119" t="str">
        <x:v>Sesiunea specială</x:v>
      </x:c>
      <x:c r="D112" s="119" t="str">
        <x:v>2011 EN Matematică Sesiunea Speciala Subiect 09</x:v>
      </x:c>
      <x:c r="E112" s="120" t="str">
        <x:v>Neînceput</x:v>
      </x:c>
      <x:c r="F112" s="120" t="str">
        <x:v>Normal</x:v>
      </x:c>
      <x:c r="G112" s="121" t="n">
        <x:f>IF($E112="Amânat",0,Setari!$B$6)</x:f>
        <x:v>20</x:v>
      </x:c>
      <x:c r="H112" s="121" t="n">
        <x:f>IF($E112="Amânat",0,Setari!$B$7)</x:f>
        <x:v>15</x:v>
      </x:c>
      <x:c r="I112" s="121" t="n">
        <x:f>IF($E112="Amânat",0,Setari!$B$8)</x:f>
        <x:v>8</x:v>
      </x:c>
      <x:c r="J112" s="121" t="n">
        <x:f>IF($E112="Amânat",0,Setari!$B$9)</x:f>
        <x:v>5</x:v>
      </x:c>
      <x:c r="K112" s="121" t="n">
        <x:f>SUM(G112:J112)</x:f>
        <x:v>48</x:v>
      </x:c>
      <x:c r="L112" s="122" t="n">
        <x:f>K112/60</x:f>
        <x:v>0.8</x:v>
      </x:c>
      <x:c r="M112" s="119" t="str">
        <x:v>2011/2011_EN_Matematica_Sesiunea_Speciala_Subiect_09_LRO.md</x:v>
      </x:c>
      <x:c r="N112" s="119" t="str">
        <x:v>2011/2011_EN_Matematica_Sesiunea_Speciala_Subiect_09_LRO.pdf</x:v>
      </x:c>
      <x:c r="O112" s="119" t="str">
        <x:v>2011/2011_EN_Matematica_Sesiunea_Speciala_Barem_09_LRO.md + .pdf</x:v>
      </x:c>
      <x:c r="P112" s="123" t="str"/>
    </x:row>
    <x:row r="113">
      <x:c r="A113" s="118" t="n">
        <x:v>107</x:v>
      </x:c>
      <x:c r="B113" s="119" t="n">
        <x:v>2012</x:v>
      </x:c>
      <x:c r="C113" s="119" t="str">
        <x:v>Examen</x:v>
      </x:c>
      <x:c r="D113" s="119" t="str">
        <x:v>2012 EN Matematică Examen Subiect 02</x:v>
      </x:c>
      <x:c r="E113" s="120" t="str">
        <x:v>Neînceput</x:v>
      </x:c>
      <x:c r="F113" s="120" t="str">
        <x:v>Normal</x:v>
      </x:c>
      <x:c r="G113" s="121" t="n">
        <x:f>IF($E113="Amânat",0,Setari!$B$6)</x:f>
        <x:v>20</x:v>
      </x:c>
      <x:c r="H113" s="121" t="n">
        <x:f>IF($E113="Amânat",0,Setari!$B$7)</x:f>
        <x:v>15</x:v>
      </x:c>
      <x:c r="I113" s="121" t="n">
        <x:f>IF($E113="Amânat",0,Setari!$B$8)</x:f>
        <x:v>8</x:v>
      </x:c>
      <x:c r="J113" s="121" t="n">
        <x:f>IF($E113="Amânat",0,Setari!$B$9)</x:f>
        <x:v>5</x:v>
      </x:c>
      <x:c r="K113" s="121" t="n">
        <x:f>SUM(G113:J113)</x:f>
        <x:v>48</x:v>
      </x:c>
      <x:c r="L113" s="122" t="n">
        <x:f>K113/60</x:f>
        <x:v>0.8</x:v>
      </x:c>
      <x:c r="M113" s="119" t="str">
        <x:v>2012/2012_EN_Matematica_Examen_Subiect_02_LRO.md</x:v>
      </x:c>
      <x:c r="N113" s="119" t="str">
        <x:v>2012/2012_EN_Matematica_Examen_Subiect_02_LRO.pdf</x:v>
      </x:c>
      <x:c r="O113" s="119" t="str">
        <x:v>2012/2012_EN_Matematica_Examen_Barem_02_LRO.md + .pdf</x:v>
      </x:c>
      <x:c r="P113" s="123" t="str"/>
    </x:row>
    <x:row r="114">
      <x:c r="A114" s="118" t="n">
        <x:v>108</x:v>
      </x:c>
      <x:c r="B114" s="119" t="n">
        <x:v>2012</x:v>
      </x:c>
      <x:c r="C114" s="119" t="str">
        <x:v>Model</x:v>
      </x:c>
      <x:c r="D114" s="119" t="str">
        <x:v>2012 EN Matematică Model Subiect</x:v>
      </x:c>
      <x:c r="E114" s="120" t="str">
        <x:v>Neînceput</x:v>
      </x:c>
      <x:c r="F114" s="120" t="str">
        <x:v>Normal</x:v>
      </x:c>
      <x:c r="G114" s="121" t="n">
        <x:f>IF($E114="Amânat",0,Setari!$B$6)</x:f>
        <x:v>20</x:v>
      </x:c>
      <x:c r="H114" s="121" t="n">
        <x:f>IF($E114="Amânat",0,Setari!$B$7)</x:f>
        <x:v>15</x:v>
      </x:c>
      <x:c r="I114" s="121" t="n">
        <x:f>IF($E114="Amânat",0,Setari!$B$8)</x:f>
        <x:v>8</x:v>
      </x:c>
      <x:c r="J114" s="121" t="n">
        <x:f>IF($E114="Amânat",0,Setari!$B$9)</x:f>
        <x:v>5</x:v>
      </x:c>
      <x:c r="K114" s="121" t="n">
        <x:f>SUM(G114:J114)</x:f>
        <x:v>48</x:v>
      </x:c>
      <x:c r="L114" s="122" t="n">
        <x:f>K114/60</x:f>
        <x:v>0.8</x:v>
      </x:c>
      <x:c r="M114" s="119" t="str">
        <x:v>2012/2012_EN_Matematica_Model_Subiect_LRO.md</x:v>
      </x:c>
      <x:c r="N114" s="119" t="str">
        <x:v>2012/2012_EN_Matematica_Model_Subiect_LRO.pdf</x:v>
      </x:c>
      <x:c r="O114" s="119" t="str">
        <x:v>2012/2012_EN_Matematica_Model_Barem_LRO.md + .pdf</x:v>
      </x:c>
      <x:c r="P114" s="123" t="str"/>
    </x:row>
    <x:row r="115">
      <x:c r="A115" s="118" t="n">
        <x:v>109</x:v>
      </x:c>
      <x:c r="B115" s="119" t="n">
        <x:v>2012</x:v>
      </x:c>
      <x:c r="C115" s="119" t="str">
        <x:v>Rezervă</x:v>
      </x:c>
      <x:c r="D115" s="119" t="str">
        <x:v>2012 EN Matematică Rezerva Examen Subiect 07</x:v>
      </x:c>
      <x:c r="E115" s="120" t="str">
        <x:v>Neînceput</x:v>
      </x:c>
      <x:c r="F115" s="120" t="str">
        <x:v>Normal</x:v>
      </x:c>
      <x:c r="G115" s="121" t="n">
        <x:f>IF($E115="Amânat",0,Setari!$B$6)</x:f>
        <x:v>20</x:v>
      </x:c>
      <x:c r="H115" s="121" t="n">
        <x:f>IF($E115="Amânat",0,Setari!$B$7)</x:f>
        <x:v>15</x:v>
      </x:c>
      <x:c r="I115" s="121" t="n">
        <x:f>IF($E115="Amânat",0,Setari!$B$8)</x:f>
        <x:v>8</x:v>
      </x:c>
      <x:c r="J115" s="121" t="n">
        <x:f>IF($E115="Amânat",0,Setari!$B$9)</x:f>
        <x:v>5</x:v>
      </x:c>
      <x:c r="K115" s="121" t="n">
        <x:f>SUM(G115:J115)</x:f>
        <x:v>48</x:v>
      </x:c>
      <x:c r="L115" s="122" t="n">
        <x:f>K115/60</x:f>
        <x:v>0.8</x:v>
      </x:c>
      <x:c r="M115" s="119" t="str">
        <x:v>2012/2012_EN_Matematica_Rezerva_Examen_Subiect_07_LRO.md</x:v>
      </x:c>
      <x:c r="N115" s="119" t="str">
        <x:v>2012/2012_EN_Matematica_Rezerva_Examen_Subiect_07_LRO.pdf</x:v>
      </x:c>
      <x:c r="O115" s="119" t="str">
        <x:v>2012/2012_EN_Matematica_Rezerva_Examen_Barem_07_LRO.md + .pdf</x:v>
      </x:c>
      <x:c r="P115" s="123" t="str"/>
    </x:row>
    <x:row r="116">
      <x:c r="A116" s="118" t="n">
        <x:v>110</x:v>
      </x:c>
      <x:c r="B116" s="119" t="n">
        <x:v>2012</x:v>
      </x:c>
      <x:c r="C116" s="119" t="str">
        <x:v>Sesiunea specială</x:v>
      </x:c>
      <x:c r="D116" s="119" t="str">
        <x:v>2012 EN Matematică Sesiunea Speciala Subiect 10</x:v>
      </x:c>
      <x:c r="E116" s="120" t="str">
        <x:v>Neînceput</x:v>
      </x:c>
      <x:c r="F116" s="120" t="str">
        <x:v>Normal</x:v>
      </x:c>
      <x:c r="G116" s="121" t="n">
        <x:f>IF($E116="Amânat",0,Setari!$B$6)</x:f>
        <x:v>20</x:v>
      </x:c>
      <x:c r="H116" s="121" t="n">
        <x:f>IF($E116="Amânat",0,Setari!$B$7)</x:f>
        <x:v>15</x:v>
      </x:c>
      <x:c r="I116" s="121" t="n">
        <x:f>IF($E116="Amânat",0,Setari!$B$8)</x:f>
        <x:v>8</x:v>
      </x:c>
      <x:c r="J116" s="121" t="n">
        <x:f>IF($E116="Amânat",0,Setari!$B$9)</x:f>
        <x:v>5</x:v>
      </x:c>
      <x:c r="K116" s="121" t="n">
        <x:f>SUM(G116:J116)</x:f>
        <x:v>48</x:v>
      </x:c>
      <x:c r="L116" s="122" t="n">
        <x:f>K116/60</x:f>
        <x:v>0.8</x:v>
      </x:c>
      <x:c r="M116" s="119" t="str">
        <x:v>2012/2012_EN_Matematica_Sesiunea_Speciala_Subiect_10_LRO.md</x:v>
      </x:c>
      <x:c r="N116" s="119" t="str">
        <x:v>2012/2012_EN_Matematica_Sesiunea_Speciala_Subiect_10_LRO.pdf</x:v>
      </x:c>
      <x:c r="O116" s="119" t="str">
        <x:v>2012/2012_EN_Matematica_Sesiunea_Speciala_Barem_10_LRO.md + .pdf</x:v>
      </x:c>
      <x:c r="P116" s="123" t="str"/>
    </x:row>
    <x:row r="117">
      <x:c r="A117" s="118" t="n">
        <x:v>111</x:v>
      </x:c>
      <x:c r="B117" s="119" t="n">
        <x:v>2013</x:v>
      </x:c>
      <x:c r="C117" s="119" t="str">
        <x:v>Examen</x:v>
      </x:c>
      <x:c r="D117" s="119" t="str">
        <x:v>2013 EN Matematică Examen Subiect 03</x:v>
      </x:c>
      <x:c r="E117" s="120" t="str">
        <x:v>Neînceput</x:v>
      </x:c>
      <x:c r="F117" s="120" t="str">
        <x:v>Normal</x:v>
      </x:c>
      <x:c r="G117" s="121" t="n">
        <x:f>IF($E117="Amânat",0,Setari!$B$6)</x:f>
        <x:v>20</x:v>
      </x:c>
      <x:c r="H117" s="121" t="n">
        <x:f>IF($E117="Amânat",0,Setari!$B$7)</x:f>
        <x:v>15</x:v>
      </x:c>
      <x:c r="I117" s="121" t="n">
        <x:f>IF($E117="Amânat",0,Setari!$B$8)</x:f>
        <x:v>8</x:v>
      </x:c>
      <x:c r="J117" s="121" t="n">
        <x:f>IF($E117="Amânat",0,Setari!$B$9)</x:f>
        <x:v>5</x:v>
      </x:c>
      <x:c r="K117" s="121" t="n">
        <x:f>SUM(G117:J117)</x:f>
        <x:v>48</x:v>
      </x:c>
      <x:c r="L117" s="122" t="n">
        <x:f>K117/60</x:f>
        <x:v>0.8</x:v>
      </x:c>
      <x:c r="M117" s="119" t="str">
        <x:v>2013/2013_EN_Matematica_Examen_Subiect_03_LRO.md</x:v>
      </x:c>
      <x:c r="N117" s="119" t="str">
        <x:v>2013/2013_EN_Matematica_Examen_Subiect_03_LRO.pdf</x:v>
      </x:c>
      <x:c r="O117" s="119" t="str">
        <x:v>2013/2013_EN_Matematica_Examen_Barem_03_LRO.md + .pdf</x:v>
      </x:c>
      <x:c r="P117" s="123" t="str"/>
    </x:row>
    <x:row r="118">
      <x:c r="A118" s="118" t="n">
        <x:v>112</x:v>
      </x:c>
      <x:c r="B118" s="119" t="n">
        <x:v>2013</x:v>
      </x:c>
      <x:c r="C118" s="119" t="str">
        <x:v>Model</x:v>
      </x:c>
      <x:c r="D118" s="119" t="str">
        <x:v>2013 EN Matematică Model Subiect</x:v>
      </x:c>
      <x:c r="E118" s="120" t="str">
        <x:v>Neînceput</x:v>
      </x:c>
      <x:c r="F118" s="120" t="str">
        <x:v>Normal</x:v>
      </x:c>
      <x:c r="G118" s="121" t="n">
        <x:f>IF($E118="Amânat",0,Setari!$B$6)</x:f>
        <x:v>20</x:v>
      </x:c>
      <x:c r="H118" s="121" t="n">
        <x:f>IF($E118="Amânat",0,Setari!$B$7)</x:f>
        <x:v>15</x:v>
      </x:c>
      <x:c r="I118" s="121" t="n">
        <x:f>IF($E118="Amânat",0,Setari!$B$8)</x:f>
        <x:v>8</x:v>
      </x:c>
      <x:c r="J118" s="121" t="n">
        <x:f>IF($E118="Amânat",0,Setari!$B$9)</x:f>
        <x:v>5</x:v>
      </x:c>
      <x:c r="K118" s="121" t="n">
        <x:f>SUM(G118:J118)</x:f>
        <x:v>48</x:v>
      </x:c>
      <x:c r="L118" s="122" t="n">
        <x:f>K118/60</x:f>
        <x:v>0.8</x:v>
      </x:c>
      <x:c r="M118" s="119" t="str">
        <x:v>2013/2013_EN_Matematica_Model_Subiect_LRO.md</x:v>
      </x:c>
      <x:c r="N118" s="119" t="str">
        <x:v>2013/2013_EN_Matematica_Model_Subiect_LRO.pdf</x:v>
      </x:c>
      <x:c r="O118" s="119" t="str">
        <x:v>2013/2013_EN_Matematica_Model_Barem_LRO.md + .pdf</x:v>
      </x:c>
      <x:c r="P118" s="123" t="str"/>
    </x:row>
    <x:row r="119">
      <x:c r="A119" s="118" t="n">
        <x:v>113</x:v>
      </x:c>
      <x:c r="B119" s="119" t="n">
        <x:v>2013</x:v>
      </x:c>
      <x:c r="C119" s="119" t="str">
        <x:v>Rezervă</x:v>
      </x:c>
      <x:c r="D119" s="119" t="str">
        <x:v>2013 EN Matematică Rezerva Examen Subiect 01</x:v>
      </x:c>
      <x:c r="E119" s="120" t="str">
        <x:v>Neînceput</x:v>
      </x:c>
      <x:c r="F119" s="120" t="str">
        <x:v>Normal</x:v>
      </x:c>
      <x:c r="G119" s="121" t="n">
        <x:f>IF($E119="Amânat",0,Setari!$B$6)</x:f>
        <x:v>20</x:v>
      </x:c>
      <x:c r="H119" s="121" t="n">
        <x:f>IF($E119="Amânat",0,Setari!$B$7)</x:f>
        <x:v>15</x:v>
      </x:c>
      <x:c r="I119" s="121" t="n">
        <x:f>IF($E119="Amânat",0,Setari!$B$8)</x:f>
        <x:v>8</x:v>
      </x:c>
      <x:c r="J119" s="121" t="n">
        <x:f>IF($E119="Amânat",0,Setari!$B$9)</x:f>
        <x:v>5</x:v>
      </x:c>
      <x:c r="K119" s="121" t="n">
        <x:f>SUM(G119:J119)</x:f>
        <x:v>48</x:v>
      </x:c>
      <x:c r="L119" s="122" t="n">
        <x:f>K119/60</x:f>
        <x:v>0.8</x:v>
      </x:c>
      <x:c r="M119" s="119" t="str">
        <x:v>2013/2013_EN_Matematica_Rezerva_Examen_Subiect_01_LRO.md</x:v>
      </x:c>
      <x:c r="N119" s="119" t="str">
        <x:v>2013/2013_EN_Matematica_Rezerva_Examen_Subiect_01_LRO.pdf</x:v>
      </x:c>
      <x:c r="O119" s="119" t="str">
        <x:v>2013/2013_EN_Matematica_Rezerva_Examen_Barem_01_LRO.md + .pdf</x:v>
      </x:c>
      <x:c r="P119" s="123" t="str"/>
    </x:row>
    <x:row r="120">
      <x:c r="A120" s="118" t="n">
        <x:v>114</x:v>
      </x:c>
      <x:c r="B120" s="119" t="n">
        <x:v>2013</x:v>
      </x:c>
      <x:c r="C120" s="119" t="str">
        <x:v>Sesiunea specială</x:v>
      </x:c>
      <x:c r="D120" s="119" t="str">
        <x:v>2013 EN Matematică Sesiunea Speciala Subiect 06</x:v>
      </x:c>
      <x:c r="E120" s="120" t="str">
        <x:v>Neînceput</x:v>
      </x:c>
      <x:c r="F120" s="120" t="str">
        <x:v>Normal</x:v>
      </x:c>
      <x:c r="G120" s="121" t="n">
        <x:f>IF($E120="Amânat",0,Setari!$B$6)</x:f>
        <x:v>20</x:v>
      </x:c>
      <x:c r="H120" s="121" t="n">
        <x:f>IF($E120="Amânat",0,Setari!$B$7)</x:f>
        <x:v>15</x:v>
      </x:c>
      <x:c r="I120" s="121" t="n">
        <x:f>IF($E120="Amânat",0,Setari!$B$8)</x:f>
        <x:v>8</x:v>
      </x:c>
      <x:c r="J120" s="121" t="n">
        <x:f>IF($E120="Amânat",0,Setari!$B$9)</x:f>
        <x:v>5</x:v>
      </x:c>
      <x:c r="K120" s="121" t="n">
        <x:f>SUM(G120:J120)</x:f>
        <x:v>48</x:v>
      </x:c>
      <x:c r="L120" s="122" t="n">
        <x:f>K120/60</x:f>
        <x:v>0.8</x:v>
      </x:c>
      <x:c r="M120" s="119" t="str">
        <x:v>2013/2013_EN_Matematica_Sesiunea_Speciala_Subiect_06_LRO.md</x:v>
      </x:c>
      <x:c r="N120" s="119" t="str">
        <x:v>2013/2013_EN_Matematica_Sesiunea_Speciala_Subiect_06_LRO.pdf</x:v>
      </x:c>
      <x:c r="O120" s="119" t="str">
        <x:v>2013/2013_EN_Matematica_Sesiunea_Speciala_Barem_06_LRO.md + .pdf</x:v>
      </x:c>
      <x:c r="P120" s="123" t="str"/>
    </x:row>
    <x:row r="121">
      <x:c r="A121" s="118" t="n">
        <x:v>115</x:v>
      </x:c>
      <x:c r="B121" s="119" t="n">
        <x:v>2014</x:v>
      </x:c>
      <x:c r="C121" s="119" t="str">
        <x:v>Examen</x:v>
      </x:c>
      <x:c r="D121" s="119" t="str">
        <x:v>2014 EN Matematică Examen Subiect 03</x:v>
      </x:c>
      <x:c r="E121" s="120" t="str">
        <x:v>Neînceput</x:v>
      </x:c>
      <x:c r="F121" s="120" t="str">
        <x:v>Normal</x:v>
      </x:c>
      <x:c r="G121" s="121" t="n">
        <x:f>IF($E121="Amânat",0,Setari!$B$6)</x:f>
        <x:v>20</x:v>
      </x:c>
      <x:c r="H121" s="121" t="n">
        <x:f>IF($E121="Amânat",0,Setari!$B$7)</x:f>
        <x:v>15</x:v>
      </x:c>
      <x:c r="I121" s="121" t="n">
        <x:f>IF($E121="Amânat",0,Setari!$B$8)</x:f>
        <x:v>8</x:v>
      </x:c>
      <x:c r="J121" s="121" t="n">
        <x:f>IF($E121="Amânat",0,Setari!$B$9)</x:f>
        <x:v>5</x:v>
      </x:c>
      <x:c r="K121" s="121" t="n">
        <x:f>SUM(G121:J121)</x:f>
        <x:v>48</x:v>
      </x:c>
      <x:c r="L121" s="122" t="n">
        <x:f>K121/60</x:f>
        <x:v>0.8</x:v>
      </x:c>
      <x:c r="M121" s="119" t="str">
        <x:v>2014/2014_EN_Matematica_Examen_Subiect_03_LRO.md</x:v>
      </x:c>
      <x:c r="N121" s="119" t="str">
        <x:v>2014/2014_EN_Matematica_Examen_Subiect_03_LRO.pdf</x:v>
      </x:c>
      <x:c r="O121" s="119" t="str">
        <x:v>2014/2014_EN_Matematica_Examen_Barem_03_LRO.md + .pdf</x:v>
      </x:c>
      <x:c r="P121" s="123" t="str"/>
    </x:row>
    <x:row r="122">
      <x:c r="A122" s="118" t="n">
        <x:v>116</x:v>
      </x:c>
      <x:c r="B122" s="119" t="n">
        <x:v>2014</x:v>
      </x:c>
      <x:c r="C122" s="119" t="str">
        <x:v>Model</x:v>
      </x:c>
      <x:c r="D122" s="119" t="str">
        <x:v>2014 EN Matematică Model Subiect</x:v>
      </x:c>
      <x:c r="E122" s="120" t="str">
        <x:v>Neînceput</x:v>
      </x:c>
      <x:c r="F122" s="120" t="str">
        <x:v>Normal</x:v>
      </x:c>
      <x:c r="G122" s="121" t="n">
        <x:f>IF($E122="Amânat",0,Setari!$B$6)</x:f>
        <x:v>20</x:v>
      </x:c>
      <x:c r="H122" s="121" t="n">
        <x:f>IF($E122="Amânat",0,Setari!$B$7)</x:f>
        <x:v>15</x:v>
      </x:c>
      <x:c r="I122" s="121" t="n">
        <x:f>IF($E122="Amânat",0,Setari!$B$8)</x:f>
        <x:v>8</x:v>
      </x:c>
      <x:c r="J122" s="121" t="n">
        <x:f>IF($E122="Amânat",0,Setari!$B$9)</x:f>
        <x:v>5</x:v>
      </x:c>
      <x:c r="K122" s="121" t="n">
        <x:f>SUM(G122:J122)</x:f>
        <x:v>48</x:v>
      </x:c>
      <x:c r="L122" s="122" t="n">
        <x:f>K122/60</x:f>
        <x:v>0.8</x:v>
      </x:c>
      <x:c r="M122" s="119" t="str">
        <x:v>2014/2014_EN_Matematica_Model_Subiect_LRO.md</x:v>
      </x:c>
      <x:c r="N122" s="119" t="str">
        <x:v>2014/2014_EN_Matematica_Model_Subiect_LRO.pdf</x:v>
      </x:c>
      <x:c r="O122" s="119" t="str">
        <x:v>2014/2014_EN_Matematica_Model_Barem_LRO.md + .pdf</x:v>
      </x:c>
      <x:c r="P122" s="123" t="str"/>
    </x:row>
    <x:row r="123">
      <x:c r="A123" s="118" t="n">
        <x:v>117</x:v>
      </x:c>
      <x:c r="B123" s="119" t="n">
        <x:v>2014</x:v>
      </x:c>
      <x:c r="C123" s="119" t="str">
        <x:v>Rezervă</x:v>
      </x:c>
      <x:c r="D123" s="119" t="str">
        <x:v>2014 EN Matematică Rezerva Examen Subiect 06</x:v>
      </x:c>
      <x:c r="E123" s="120" t="str">
        <x:v>Neînceput</x:v>
      </x:c>
      <x:c r="F123" s="120" t="str">
        <x:v>Normal</x:v>
      </x:c>
      <x:c r="G123" s="121" t="n">
        <x:f>IF($E123="Amânat",0,Setari!$B$6)</x:f>
        <x:v>20</x:v>
      </x:c>
      <x:c r="H123" s="121" t="n">
        <x:f>IF($E123="Amânat",0,Setari!$B$7)</x:f>
        <x:v>15</x:v>
      </x:c>
      <x:c r="I123" s="121" t="n">
        <x:f>IF($E123="Amânat",0,Setari!$B$8)</x:f>
        <x:v>8</x:v>
      </x:c>
      <x:c r="J123" s="121" t="n">
        <x:f>IF($E123="Amânat",0,Setari!$B$9)</x:f>
        <x:v>5</x:v>
      </x:c>
      <x:c r="K123" s="121" t="n">
        <x:f>SUM(G123:J123)</x:f>
        <x:v>48</x:v>
      </x:c>
      <x:c r="L123" s="122" t="n">
        <x:f>K123/60</x:f>
        <x:v>0.8</x:v>
      </x:c>
      <x:c r="M123" s="119" t="str">
        <x:v>2014/2014_EN_Matematica_Rezerva_Examen_Subiect_06_LRO.md</x:v>
      </x:c>
      <x:c r="N123" s="119" t="str">
        <x:v>2014/2014_EN_Matematica_Rezerva_Examen_Subiect_06_LRO.pdf</x:v>
      </x:c>
      <x:c r="O123" s="119" t="str">
        <x:v>2014/2014_EN_Matematica_Rezerva_Examen_Barem_06_LRO.md + .pdf</x:v>
      </x:c>
      <x:c r="P123" s="123" t="str"/>
    </x:row>
    <x:row r="124">
      <x:c r="A124" s="118" t="n">
        <x:v>118</x:v>
      </x:c>
      <x:c r="B124" s="119" t="n">
        <x:v>2014</x:v>
      </x:c>
      <x:c r="C124" s="119" t="str">
        <x:v>Sesiunea specială</x:v>
      </x:c>
      <x:c r="D124" s="119" t="str">
        <x:v>2014 EN Matematică Sesiunea Speciala Subiect 09</x:v>
      </x:c>
      <x:c r="E124" s="120" t="str">
        <x:v>Neînceput</x:v>
      </x:c>
      <x:c r="F124" s="120" t="str">
        <x:v>Normal</x:v>
      </x:c>
      <x:c r="G124" s="121" t="n">
        <x:f>IF($E124="Amânat",0,Setari!$B$6)</x:f>
        <x:v>20</x:v>
      </x:c>
      <x:c r="H124" s="121" t="n">
        <x:f>IF($E124="Amânat",0,Setari!$B$7)</x:f>
        <x:v>15</x:v>
      </x:c>
      <x:c r="I124" s="121" t="n">
        <x:f>IF($E124="Amânat",0,Setari!$B$8)</x:f>
        <x:v>8</x:v>
      </x:c>
      <x:c r="J124" s="121" t="n">
        <x:f>IF($E124="Amânat",0,Setari!$B$9)</x:f>
        <x:v>5</x:v>
      </x:c>
      <x:c r="K124" s="121" t="n">
        <x:f>SUM(G124:J124)</x:f>
        <x:v>48</x:v>
      </x:c>
      <x:c r="L124" s="122" t="n">
        <x:f>K124/60</x:f>
        <x:v>0.8</x:v>
      </x:c>
      <x:c r="M124" s="119" t="str">
        <x:v>2014/2014_EN_Matematica_Sesiunea_Speciala_Subiect_09_LRO.md</x:v>
      </x:c>
      <x:c r="N124" s="119" t="str">
        <x:v>2014/2014_EN_Matematica_Sesiunea_Speciala_Subiect_09_LRO.pdf</x:v>
      </x:c>
      <x:c r="O124" s="119" t="str">
        <x:v>2014/2014_EN_Matematica_Sesiunea_Speciala_Barem_09_LRO.md + .pdf</x:v>
      </x:c>
      <x:c r="P124" s="123" t="str"/>
    </x:row>
    <x:row r="125">
      <x:c r="A125" s="118" t="n">
        <x:v>119</x:v>
      </x:c>
      <x:c r="B125" s="119" t="n">
        <x:v>2014</x:v>
      </x:c>
      <x:c r="C125" s="119" t="str">
        <x:v>Simulare</x:v>
      </x:c>
      <x:c r="D125" s="119" t="str">
        <x:v>2014 EN Matematică Simulare Subiect</x:v>
      </x:c>
      <x:c r="E125" s="120" t="str">
        <x:v>Neînceput</x:v>
      </x:c>
      <x:c r="F125" s="120" t="str">
        <x:v>Normal</x:v>
      </x:c>
      <x:c r="G125" s="121" t="n">
        <x:f>IF($E125="Amânat",0,Setari!$B$6)</x:f>
        <x:v>20</x:v>
      </x:c>
      <x:c r="H125" s="121" t="n">
        <x:f>IF($E125="Amânat",0,Setari!$B$7)</x:f>
        <x:v>15</x:v>
      </x:c>
      <x:c r="I125" s="121" t="n">
        <x:f>IF($E125="Amânat",0,Setari!$B$8)</x:f>
        <x:v>8</x:v>
      </x:c>
      <x:c r="J125" s="121" t="n">
        <x:f>IF($E125="Amânat",0,Setari!$B$9)</x:f>
        <x:v>5</x:v>
      </x:c>
      <x:c r="K125" s="121" t="n">
        <x:f>SUM(G125:J125)</x:f>
        <x:v>48</x:v>
      </x:c>
      <x:c r="L125" s="122" t="n">
        <x:f>K125/60</x:f>
        <x:v>0.8</x:v>
      </x:c>
      <x:c r="M125" s="119" t="str">
        <x:v>2014/2014_EN_Matematica_Simulare_Subiect_LRO.md</x:v>
      </x:c>
      <x:c r="N125" s="119" t="str">
        <x:v>2014/2014_EN_Matematica_Simulare_Subiect_LRO.pdf</x:v>
      </x:c>
      <x:c r="O125" s="119" t="str">
        <x:v>2014/2014_EN_Matematica_Simulare_Barem_LRO.md + .pdf</x:v>
      </x:c>
      <x:c r="P125" s="123" t="str"/>
    </x:row>
    <x:row r="126">
      <x:c r="A126" s="118" t="n">
        <x:v>120</x:v>
      </x:c>
      <x:c r="B126" s="119" t="n">
        <x:v>2015</x:v>
      </x:c>
      <x:c r="C126" s="119" t="str">
        <x:v>Examen</x:v>
      </x:c>
      <x:c r="D126" s="119" t="str">
        <x:v>2015 EN Matematică Examen Subiect 07</x:v>
      </x:c>
      <x:c r="E126" s="120" t="str">
        <x:v>Neînceput</x:v>
      </x:c>
      <x:c r="F126" s="120" t="str">
        <x:v>Normal</x:v>
      </x:c>
      <x:c r="G126" s="121" t="n">
        <x:f>IF($E126="Amânat",0,Setari!$B$6)</x:f>
        <x:v>20</x:v>
      </x:c>
      <x:c r="H126" s="121" t="n">
        <x:f>IF($E126="Amânat",0,Setari!$B$7)</x:f>
        <x:v>15</x:v>
      </x:c>
      <x:c r="I126" s="121" t="n">
        <x:f>IF($E126="Amânat",0,Setari!$B$8)</x:f>
        <x:v>8</x:v>
      </x:c>
      <x:c r="J126" s="121" t="n">
        <x:f>IF($E126="Amânat",0,Setari!$B$9)</x:f>
        <x:v>5</x:v>
      </x:c>
      <x:c r="K126" s="121" t="n">
        <x:f>SUM(G126:J126)</x:f>
        <x:v>48</x:v>
      </x:c>
      <x:c r="L126" s="122" t="n">
        <x:f>K126/60</x:f>
        <x:v>0.8</x:v>
      </x:c>
      <x:c r="M126" s="119" t="str">
        <x:v>2015/2015_EN_Matematica_Examen_Subiect_07_LRO.md</x:v>
      </x:c>
      <x:c r="N126" s="119" t="str">
        <x:v>2015/2015_EN_Matematica_Examen_Subiect_07_LRO.pdf</x:v>
      </x:c>
      <x:c r="O126" s="119" t="str">
        <x:v>2015/2015_EN_Matematica_Examen_Barem_07_LRO.md + .pdf</x:v>
      </x:c>
      <x:c r="P126" s="123" t="str"/>
    </x:row>
    <x:row r="127">
      <x:c r="A127" s="118" t="n">
        <x:v>121</x:v>
      </x:c>
      <x:c r="B127" s="119" t="n">
        <x:v>2015</x:v>
      </x:c>
      <x:c r="C127" s="119" t="str">
        <x:v>Model</x:v>
      </x:c>
      <x:c r="D127" s="119" t="str">
        <x:v>2015 EN Matematică Model Subiect</x:v>
      </x:c>
      <x:c r="E127" s="120" t="str">
        <x:v>Neînceput</x:v>
      </x:c>
      <x:c r="F127" s="120" t="str">
        <x:v>Normal</x:v>
      </x:c>
      <x:c r="G127" s="121" t="n">
        <x:f>IF($E127="Amânat",0,Setari!$B$6)</x:f>
        <x:v>20</x:v>
      </x:c>
      <x:c r="H127" s="121" t="n">
        <x:f>IF($E127="Amânat",0,Setari!$B$7)</x:f>
        <x:v>15</x:v>
      </x:c>
      <x:c r="I127" s="121" t="n">
        <x:f>IF($E127="Amânat",0,Setari!$B$8)</x:f>
        <x:v>8</x:v>
      </x:c>
      <x:c r="J127" s="121" t="n">
        <x:f>IF($E127="Amânat",0,Setari!$B$9)</x:f>
        <x:v>5</x:v>
      </x:c>
      <x:c r="K127" s="121" t="n">
        <x:f>SUM(G127:J127)</x:f>
        <x:v>48</x:v>
      </x:c>
      <x:c r="L127" s="122" t="n">
        <x:f>K127/60</x:f>
        <x:v>0.8</x:v>
      </x:c>
      <x:c r="M127" s="119" t="str">
        <x:v>2015/2015_EN_Matematica_Model_Subiect_LRO.md</x:v>
      </x:c>
      <x:c r="N127" s="119" t="str">
        <x:v>2015/2015_EN_Matematica_Model_Subiect_LRO.pdf</x:v>
      </x:c>
      <x:c r="O127" s="119" t="str">
        <x:v>2015/2015_EN_Matematica_Model_Barem_LRO.md + .pdf</x:v>
      </x:c>
      <x:c r="P127" s="123" t="str"/>
    </x:row>
    <x:row r="128">
      <x:c r="A128" s="118" t="n">
        <x:v>122</x:v>
      </x:c>
      <x:c r="B128" s="119" t="n">
        <x:v>2015</x:v>
      </x:c>
      <x:c r="C128" s="119" t="str">
        <x:v>Rezervă</x:v>
      </x:c>
      <x:c r="D128" s="119" t="str">
        <x:v>2015 EN Matematică Rezerva Examen Subiect 03</x:v>
      </x:c>
      <x:c r="E128" s="120" t="str">
        <x:v>Neînceput</x:v>
      </x:c>
      <x:c r="F128" s="120" t="str">
        <x:v>Normal</x:v>
      </x:c>
      <x:c r="G128" s="121" t="n">
        <x:f>IF($E128="Amânat",0,Setari!$B$6)</x:f>
        <x:v>20</x:v>
      </x:c>
      <x:c r="H128" s="121" t="n">
        <x:f>IF($E128="Amânat",0,Setari!$B$7)</x:f>
        <x:v>15</x:v>
      </x:c>
      <x:c r="I128" s="121" t="n">
        <x:f>IF($E128="Amânat",0,Setari!$B$8)</x:f>
        <x:v>8</x:v>
      </x:c>
      <x:c r="J128" s="121" t="n">
        <x:f>IF($E128="Amânat",0,Setari!$B$9)</x:f>
        <x:v>5</x:v>
      </x:c>
      <x:c r="K128" s="121" t="n">
        <x:f>SUM(G128:J128)</x:f>
        <x:v>48</x:v>
      </x:c>
      <x:c r="L128" s="122" t="n">
        <x:f>K128/60</x:f>
        <x:v>0.8</x:v>
      </x:c>
      <x:c r="M128" s="119" t="str">
        <x:v>2015/2015_EN_Matematica_Rezerva_Examen_Subiect_03_LRO.md</x:v>
      </x:c>
      <x:c r="N128" s="119" t="str">
        <x:v>2015/2015_EN_Matematica_Rezerva_Examen_Subiect_03_LRO.pdf</x:v>
      </x:c>
      <x:c r="O128" s="119" t="str">
        <x:v>2015/2015_EN_Matematica_Rezerva_Examen_Barem_03_LRO.md + .pdf</x:v>
      </x:c>
      <x:c r="P128" s="123" t="str"/>
    </x:row>
    <x:row r="129">
      <x:c r="A129" s="118" t="n">
        <x:v>123</x:v>
      </x:c>
      <x:c r="B129" s="119" t="n">
        <x:v>2015</x:v>
      </x:c>
      <x:c r="C129" s="119" t="str">
        <x:v>Sesiunea specială</x:v>
      </x:c>
      <x:c r="D129" s="119" t="str">
        <x:v>2015 EN Matematică Sesiunea Speciala Subiect 05</x:v>
      </x:c>
      <x:c r="E129" s="120" t="str">
        <x:v>Neînceput</x:v>
      </x:c>
      <x:c r="F129" s="120" t="str">
        <x:v>Normal</x:v>
      </x:c>
      <x:c r="G129" s="121" t="n">
        <x:f>IF($E129="Amânat",0,Setari!$B$6)</x:f>
        <x:v>20</x:v>
      </x:c>
      <x:c r="H129" s="121" t="n">
        <x:f>IF($E129="Amânat",0,Setari!$B$7)</x:f>
        <x:v>15</x:v>
      </x:c>
      <x:c r="I129" s="121" t="n">
        <x:f>IF($E129="Amânat",0,Setari!$B$8)</x:f>
        <x:v>8</x:v>
      </x:c>
      <x:c r="J129" s="121" t="n">
        <x:f>IF($E129="Amânat",0,Setari!$B$9)</x:f>
        <x:v>5</x:v>
      </x:c>
      <x:c r="K129" s="121" t="n">
        <x:f>SUM(G129:J129)</x:f>
        <x:v>48</x:v>
      </x:c>
      <x:c r="L129" s="122" t="n">
        <x:f>K129/60</x:f>
        <x:v>0.8</x:v>
      </x:c>
      <x:c r="M129" s="119" t="str">
        <x:v>2015/2015_EN_Matematica_Sesiunea_Speciala_Subiect_05_LRO.md</x:v>
      </x:c>
      <x:c r="N129" s="119" t="str">
        <x:v>2015/2015_EN_Matematica_Sesiunea_Speciala_Subiect_05_LRO.pdf</x:v>
      </x:c>
      <x:c r="O129" s="119" t="str">
        <x:v>2015/2015_EN_Matematica_Sesiunea_Speciala_Barem_05_LRO.md + .pdf</x:v>
      </x:c>
      <x:c r="P129" s="123" t="str"/>
    </x:row>
    <x:row r="130">
      <x:c r="A130" s="118" t="n">
        <x:v>124</x:v>
      </x:c>
      <x:c r="B130" s="119" t="n">
        <x:v>2015</x:v>
      </x:c>
      <x:c r="C130" s="119" t="str">
        <x:v>Simulare</x:v>
      </x:c>
      <x:c r="D130" s="119" t="str">
        <x:v>2015 EN Matematică Simulare Subiect</x:v>
      </x:c>
      <x:c r="E130" s="120" t="str">
        <x:v>Neînceput</x:v>
      </x:c>
      <x:c r="F130" s="120" t="str">
        <x:v>Normal</x:v>
      </x:c>
      <x:c r="G130" s="121" t="n">
        <x:f>IF($E130="Amânat",0,Setari!$B$6)</x:f>
        <x:v>20</x:v>
      </x:c>
      <x:c r="H130" s="121" t="n">
        <x:f>IF($E130="Amânat",0,Setari!$B$7)</x:f>
        <x:v>15</x:v>
      </x:c>
      <x:c r="I130" s="121" t="n">
        <x:f>IF($E130="Amânat",0,Setari!$B$8)</x:f>
        <x:v>8</x:v>
      </x:c>
      <x:c r="J130" s="121" t="n">
        <x:f>IF($E130="Amânat",0,Setari!$B$9)</x:f>
        <x:v>5</x:v>
      </x:c>
      <x:c r="K130" s="121" t="n">
        <x:f>SUM(G130:J130)</x:f>
        <x:v>48</x:v>
      </x:c>
      <x:c r="L130" s="122" t="n">
        <x:f>K130/60</x:f>
        <x:v>0.8</x:v>
      </x:c>
      <x:c r="M130" s="119" t="str">
        <x:v>2015/2015_EN_Matematica_Simulare_Subiect_LRO.md</x:v>
      </x:c>
      <x:c r="N130" s="119" t="str">
        <x:v>2015/2015_EN_Matematica_Simulare_Subiect_LRO.pdf</x:v>
      </x:c>
      <x:c r="O130" s="119" t="str">
        <x:v>2015/2015_EN_Matematica_Simulare_Barem_LRO.md + .pdf</x:v>
      </x:c>
      <x:c r="P130" s="123" t="str"/>
    </x:row>
    <x:row r="131">
      <x:c r="A131" s="118" t="n">
        <x:v>125</x:v>
      </x:c>
      <x:c r="B131" s="119" t="n">
        <x:v>2016</x:v>
      </x:c>
      <x:c r="C131" s="119" t="str">
        <x:v>Examen</x:v>
      </x:c>
      <x:c r="D131" s="119" t="str">
        <x:v>2016 EN Matematică Examen Subiect 07</x:v>
      </x:c>
      <x:c r="E131" s="120" t="str">
        <x:v>Neînceput</x:v>
      </x:c>
      <x:c r="F131" s="120" t="str">
        <x:v>Normal</x:v>
      </x:c>
      <x:c r="G131" s="121" t="n">
        <x:f>IF($E131="Amânat",0,Setari!$B$6)</x:f>
        <x:v>20</x:v>
      </x:c>
      <x:c r="H131" s="121" t="n">
        <x:f>IF($E131="Amânat",0,Setari!$B$7)</x:f>
        <x:v>15</x:v>
      </x:c>
      <x:c r="I131" s="121" t="n">
        <x:f>IF($E131="Amânat",0,Setari!$B$8)</x:f>
        <x:v>8</x:v>
      </x:c>
      <x:c r="J131" s="121" t="n">
        <x:f>IF($E131="Amânat",0,Setari!$B$9)</x:f>
        <x:v>5</x:v>
      </x:c>
      <x:c r="K131" s="121" t="n">
        <x:f>SUM(G131:J131)</x:f>
        <x:v>48</x:v>
      </x:c>
      <x:c r="L131" s="122" t="n">
        <x:f>K131/60</x:f>
        <x:v>0.8</x:v>
      </x:c>
      <x:c r="M131" s="119" t="str">
        <x:v>2016/2016_EN_Matematica_Examen_Subiect_07_LRO.md</x:v>
      </x:c>
      <x:c r="N131" s="119" t="str">
        <x:v>2016/2016_EN_Matematica_Examen_Subiect_07_LRO.pdf</x:v>
      </x:c>
      <x:c r="O131" s="119" t="str">
        <x:v>2016/2016_EN_Matematica_Examen_Barem_07_LRO.md + .pdf</x:v>
      </x:c>
      <x:c r="P131" s="123" t="str"/>
    </x:row>
    <x:row r="132">
      <x:c r="A132" s="118" t="n">
        <x:v>126</x:v>
      </x:c>
      <x:c r="B132" s="119" t="n">
        <x:v>2016</x:v>
      </x:c>
      <x:c r="C132" s="119" t="str">
        <x:v>Model</x:v>
      </x:c>
      <x:c r="D132" s="119" t="str">
        <x:v>2016 EN Matematică Model Subiect</x:v>
      </x:c>
      <x:c r="E132" s="120" t="str">
        <x:v>Neînceput</x:v>
      </x:c>
      <x:c r="F132" s="120" t="str">
        <x:v>Normal</x:v>
      </x:c>
      <x:c r="G132" s="121" t="n">
        <x:f>IF($E132="Amânat",0,Setari!$B$6)</x:f>
        <x:v>20</x:v>
      </x:c>
      <x:c r="H132" s="121" t="n">
        <x:f>IF($E132="Amânat",0,Setari!$B$7)</x:f>
        <x:v>15</x:v>
      </x:c>
      <x:c r="I132" s="121" t="n">
        <x:f>IF($E132="Amânat",0,Setari!$B$8)</x:f>
        <x:v>8</x:v>
      </x:c>
      <x:c r="J132" s="121" t="n">
        <x:f>IF($E132="Amânat",0,Setari!$B$9)</x:f>
        <x:v>5</x:v>
      </x:c>
      <x:c r="K132" s="121" t="n">
        <x:f>SUM(G132:J132)</x:f>
        <x:v>48</x:v>
      </x:c>
      <x:c r="L132" s="122" t="n">
        <x:f>K132/60</x:f>
        <x:v>0.8</x:v>
      </x:c>
      <x:c r="M132" s="119" t="str">
        <x:v>2016/2016_EN_Matematica_Model_Subiect_LRO.md</x:v>
      </x:c>
      <x:c r="N132" s="119" t="str">
        <x:v>2016/2016_EN_Matematica_Model_Subiect_LRO.pdf</x:v>
      </x:c>
      <x:c r="O132" s="119" t="str">
        <x:v>2016/2016_EN_Matematica_Model_Barem_LRO.md + .pdf</x:v>
      </x:c>
      <x:c r="P132" s="123" t="str"/>
    </x:row>
    <x:row r="133">
      <x:c r="A133" s="118" t="n">
        <x:v>127</x:v>
      </x:c>
      <x:c r="B133" s="119" t="n">
        <x:v>2016</x:v>
      </x:c>
      <x:c r="C133" s="119" t="str">
        <x:v>Rezervă</x:v>
      </x:c>
      <x:c r="D133" s="119" t="str">
        <x:v>2016 EN Matematică Rezerva Examen Subiect 03</x:v>
      </x:c>
      <x:c r="E133" s="120" t="str">
        <x:v>Neînceput</x:v>
      </x:c>
      <x:c r="F133" s="120" t="str">
        <x:v>Normal</x:v>
      </x:c>
      <x:c r="G133" s="121" t="n">
        <x:f>IF($E133="Amânat",0,Setari!$B$6)</x:f>
        <x:v>20</x:v>
      </x:c>
      <x:c r="H133" s="121" t="n">
        <x:f>IF($E133="Amânat",0,Setari!$B$7)</x:f>
        <x:v>15</x:v>
      </x:c>
      <x:c r="I133" s="121" t="n">
        <x:f>IF($E133="Amânat",0,Setari!$B$8)</x:f>
        <x:v>8</x:v>
      </x:c>
      <x:c r="J133" s="121" t="n">
        <x:f>IF($E133="Amânat",0,Setari!$B$9)</x:f>
        <x:v>5</x:v>
      </x:c>
      <x:c r="K133" s="121" t="n">
        <x:f>SUM(G133:J133)</x:f>
        <x:v>48</x:v>
      </x:c>
      <x:c r="L133" s="122" t="n">
        <x:f>K133/60</x:f>
        <x:v>0.8</x:v>
      </x:c>
      <x:c r="M133" s="119" t="str">
        <x:v>2016/2016_EN_Matematica_Rezerva_Examen_Subiect_03_LRO.md</x:v>
      </x:c>
      <x:c r="N133" s="119" t="str">
        <x:v>2016/2016_EN_Matematica_Rezerva_Examen_Subiect_03_LRO.pdf</x:v>
      </x:c>
      <x:c r="O133" s="119" t="str">
        <x:v>2016/2016_EN_Matematica_Rezerva_Examen_Barem_03_LRO.md + .pdf</x:v>
      </x:c>
      <x:c r="P133" s="123" t="str"/>
    </x:row>
    <x:row r="134">
      <x:c r="A134" s="118" t="n">
        <x:v>128</x:v>
      </x:c>
      <x:c r="B134" s="119" t="n">
        <x:v>2016</x:v>
      </x:c>
      <x:c r="C134" s="119" t="str">
        <x:v>Rezervă 2</x:v>
      </x:c>
      <x:c r="D134" s="119" t="str">
        <x:v>2016 EN Matematică Rezerva2 Examen Subiect 09</x:v>
      </x:c>
      <x:c r="E134" s="120" t="str">
        <x:v>Neînceput</x:v>
      </x:c>
      <x:c r="F134" s="120" t="str">
        <x:v>Normal</x:v>
      </x:c>
      <x:c r="G134" s="121" t="n">
        <x:f>IF($E134="Amânat",0,Setari!$B$6)</x:f>
        <x:v>20</x:v>
      </x:c>
      <x:c r="H134" s="121" t="n">
        <x:f>IF($E134="Amânat",0,Setari!$B$7)</x:f>
        <x:v>15</x:v>
      </x:c>
      <x:c r="I134" s="121" t="n">
        <x:f>IF($E134="Amânat",0,Setari!$B$8)</x:f>
        <x:v>8</x:v>
      </x:c>
      <x:c r="J134" s="121" t="n">
        <x:f>IF($E134="Amânat",0,Setari!$B$9)</x:f>
        <x:v>5</x:v>
      </x:c>
      <x:c r="K134" s="121" t="n">
        <x:f>SUM(G134:J134)</x:f>
        <x:v>48</x:v>
      </x:c>
      <x:c r="L134" s="122" t="n">
        <x:f>K134/60</x:f>
        <x:v>0.8</x:v>
      </x:c>
      <x:c r="M134" s="119" t="str">
        <x:v>2016/2016_EN_Matematica_Rezerva2_Examen_Subiect_09_LRO.md</x:v>
      </x:c>
      <x:c r="N134" s="119" t="str">
        <x:v>2016/2016_EN_Matematica_Rezerva2_Examen_Subiect_09_LRO.pdf</x:v>
      </x:c>
      <x:c r="O134" s="119" t="str">
        <x:v>2016/2016_EN_Matematica_Rezerva2_Examen_Barem_09_LRO.md + .pdf</x:v>
      </x:c>
      <x:c r="P134" s="123" t="str"/>
    </x:row>
    <x:row r="135">
      <x:c r="A135" s="118" t="n">
        <x:v>129</x:v>
      </x:c>
      <x:c r="B135" s="119" t="n">
        <x:v>2016</x:v>
      </x:c>
      <x:c r="C135" s="119" t="str">
        <x:v>Sesiunea specială</x:v>
      </x:c>
      <x:c r="D135" s="119" t="str">
        <x:v>2016 EN Matematică Sesiunea Speciala Subiect 04</x:v>
      </x:c>
      <x:c r="E135" s="120" t="str">
        <x:v>Neînceput</x:v>
      </x:c>
      <x:c r="F135" s="120" t="str">
        <x:v>Normal</x:v>
      </x:c>
      <x:c r="G135" s="121" t="n">
        <x:f>IF($E135="Amânat",0,Setari!$B$6)</x:f>
        <x:v>20</x:v>
      </x:c>
      <x:c r="H135" s="121" t="n">
        <x:f>IF($E135="Amânat",0,Setari!$B$7)</x:f>
        <x:v>15</x:v>
      </x:c>
      <x:c r="I135" s="121" t="n">
        <x:f>IF($E135="Amânat",0,Setari!$B$8)</x:f>
        <x:v>8</x:v>
      </x:c>
      <x:c r="J135" s="121" t="n">
        <x:f>IF($E135="Amânat",0,Setari!$B$9)</x:f>
        <x:v>5</x:v>
      </x:c>
      <x:c r="K135" s="121" t="n">
        <x:f>SUM(G135:J135)</x:f>
        <x:v>48</x:v>
      </x:c>
      <x:c r="L135" s="122" t="n">
        <x:f>K135/60</x:f>
        <x:v>0.8</x:v>
      </x:c>
      <x:c r="M135" s="119" t="str">
        <x:v>2016/2016_EN_Matematica_Sesiunea_Speciala_Subiect_04_LRO.md</x:v>
      </x:c>
      <x:c r="N135" s="119" t="str">
        <x:v>2016/2016_EN_Matematica_Sesiunea_Speciala_Subiect_04_LRO.pdf</x:v>
      </x:c>
      <x:c r="O135" s="119" t="str">
        <x:v>2016/2016_EN_Matematica_Sesiunea_Speciala_Barem_04_LRO.md + .pdf</x:v>
      </x:c>
      <x:c r="P135" s="123" t="str"/>
    </x:row>
    <x:row r="136">
      <x:c r="A136" s="118" t="n">
        <x:v>130</x:v>
      </x:c>
      <x:c r="B136" s="119" t="n">
        <x:v>2016</x:v>
      </x:c>
      <x:c r="C136" s="119" t="str">
        <x:v>Simulare</x:v>
      </x:c>
      <x:c r="D136" s="119" t="str">
        <x:v>2016 EN Matematică Simulare Subiect</x:v>
      </x:c>
      <x:c r="E136" s="120" t="str">
        <x:v>Neînceput</x:v>
      </x:c>
      <x:c r="F136" s="120" t="str">
        <x:v>Normal</x:v>
      </x:c>
      <x:c r="G136" s="121" t="n">
        <x:f>IF($E136="Amânat",0,Setari!$B$6)</x:f>
        <x:v>20</x:v>
      </x:c>
      <x:c r="H136" s="121" t="n">
        <x:f>IF($E136="Amânat",0,Setari!$B$7)</x:f>
        <x:v>15</x:v>
      </x:c>
      <x:c r="I136" s="121" t="n">
        <x:f>IF($E136="Amânat",0,Setari!$B$8)</x:f>
        <x:v>8</x:v>
      </x:c>
      <x:c r="J136" s="121" t="n">
        <x:f>IF($E136="Amânat",0,Setari!$B$9)</x:f>
        <x:v>5</x:v>
      </x:c>
      <x:c r="K136" s="121" t="n">
        <x:f>SUM(G136:J136)</x:f>
        <x:v>48</x:v>
      </x:c>
      <x:c r="L136" s="122" t="n">
        <x:f>K136/60</x:f>
        <x:v>0.8</x:v>
      </x:c>
      <x:c r="M136" s="119" t="str">
        <x:v>2016/2016_EN_Matematica_Simulare_Subiect_LRO.md</x:v>
      </x:c>
      <x:c r="N136" s="119" t="str">
        <x:v>2016/2016_EN_Matematica_Simulare_Subiect_LRO.pdf</x:v>
      </x:c>
      <x:c r="O136" s="119" t="str">
        <x:v>2016/2016_EN_Matematica_Simulare_Barem_LRO.md + .pdf</x:v>
      </x:c>
      <x:c r="P136" s="123" t="str"/>
    </x:row>
    <x:row r="137">
      <x:c r="A137" s="118" t="n">
        <x:v>131</x:v>
      </x:c>
      <x:c r="B137" s="119" t="n">
        <x:v>2017</x:v>
      </x:c>
      <x:c r="C137" s="119" t="str">
        <x:v>Examen</x:v>
      </x:c>
      <x:c r="D137" s="119" t="str">
        <x:v>2017 EN Matematică Examen Subiect 06</x:v>
      </x:c>
      <x:c r="E137" s="120" t="str">
        <x:v>Neînceput</x:v>
      </x:c>
      <x:c r="F137" s="120" t="str">
        <x:v>Normal</x:v>
      </x:c>
      <x:c r="G137" s="121" t="n">
        <x:f>IF($E137="Amânat",0,Setari!$B$6)</x:f>
        <x:v>20</x:v>
      </x:c>
      <x:c r="H137" s="121" t="n">
        <x:f>IF($E137="Amânat",0,Setari!$B$7)</x:f>
        <x:v>15</x:v>
      </x:c>
      <x:c r="I137" s="121" t="n">
        <x:f>IF($E137="Amânat",0,Setari!$B$8)</x:f>
        <x:v>8</x:v>
      </x:c>
      <x:c r="J137" s="121" t="n">
        <x:f>IF($E137="Amânat",0,Setari!$B$9)</x:f>
        <x:v>5</x:v>
      </x:c>
      <x:c r="K137" s="121" t="n">
        <x:f>SUM(G137:J137)</x:f>
        <x:v>48</x:v>
      </x:c>
      <x:c r="L137" s="122" t="n">
        <x:f>K137/60</x:f>
        <x:v>0.8</x:v>
      </x:c>
      <x:c r="M137" s="119" t="str">
        <x:v>2017/2017_EN_Matematica_Examen_Subiect_06_LRO.md</x:v>
      </x:c>
      <x:c r="N137" s="119" t="str">
        <x:v>2017/2017_EN_Matematica_Examen_Subiect_06_LRO.pdf</x:v>
      </x:c>
      <x:c r="O137" s="119" t="str">
        <x:v>2017/2017_EN_Matematica_Examen_Barem_06_LRO.md + .pdf</x:v>
      </x:c>
      <x:c r="P137" s="123" t="str"/>
    </x:row>
    <x:row r="138">
      <x:c r="A138" s="118" t="n">
        <x:v>132</x:v>
      </x:c>
      <x:c r="B138" s="119" t="n">
        <x:v>2017</x:v>
      </x:c>
      <x:c r="C138" s="119" t="str">
        <x:v>Model</x:v>
      </x:c>
      <x:c r="D138" s="119" t="str">
        <x:v>2017 EN Matematică Model Subiect</x:v>
      </x:c>
      <x:c r="E138" s="120" t="str">
        <x:v>Neînceput</x:v>
      </x:c>
      <x:c r="F138" s="120" t="str">
        <x:v>Normal</x:v>
      </x:c>
      <x:c r="G138" s="121" t="n">
        <x:f>IF($E138="Amânat",0,Setari!$B$6)</x:f>
        <x:v>20</x:v>
      </x:c>
      <x:c r="H138" s="121" t="n">
        <x:f>IF($E138="Amânat",0,Setari!$B$7)</x:f>
        <x:v>15</x:v>
      </x:c>
      <x:c r="I138" s="121" t="n">
        <x:f>IF($E138="Amânat",0,Setari!$B$8)</x:f>
        <x:v>8</x:v>
      </x:c>
      <x:c r="J138" s="121" t="n">
        <x:f>IF($E138="Amânat",0,Setari!$B$9)</x:f>
        <x:v>5</x:v>
      </x:c>
      <x:c r="K138" s="121" t="n">
        <x:f>SUM(G138:J138)</x:f>
        <x:v>48</x:v>
      </x:c>
      <x:c r="L138" s="122" t="n">
        <x:f>K138/60</x:f>
        <x:v>0.8</x:v>
      </x:c>
      <x:c r="M138" s="119" t="str">
        <x:v>2017/2017_EN_Matematica_Model_Subiect_LRO.md</x:v>
      </x:c>
      <x:c r="N138" s="119" t="str">
        <x:v>2017/2017_EN_Matematica_Model_Subiect_LRO.pdf</x:v>
      </x:c>
      <x:c r="O138" s="119" t="str">
        <x:v>2017/2017_EN_Matematica_Model_Barem_LRO.md + .pdf</x:v>
      </x:c>
      <x:c r="P138" s="123" t="str"/>
    </x:row>
    <x:row r="139">
      <x:c r="A139" s="118" t="n">
        <x:v>133</x:v>
      </x:c>
      <x:c r="B139" s="119" t="n">
        <x:v>2017</x:v>
      </x:c>
      <x:c r="C139" s="119" t="str">
        <x:v>Rezervă</x:v>
      </x:c>
      <x:c r="D139" s="119" t="str">
        <x:v>2017 EN Matematică Rezerva Examen Subiect 02</x:v>
      </x:c>
      <x:c r="E139" s="120" t="str">
        <x:v>Neînceput</x:v>
      </x:c>
      <x:c r="F139" s="120" t="str">
        <x:v>Normal</x:v>
      </x:c>
      <x:c r="G139" s="121" t="n">
        <x:f>IF($E139="Amânat",0,Setari!$B$6)</x:f>
        <x:v>20</x:v>
      </x:c>
      <x:c r="H139" s="121" t="n">
        <x:f>IF($E139="Amânat",0,Setari!$B$7)</x:f>
        <x:v>15</x:v>
      </x:c>
      <x:c r="I139" s="121" t="n">
        <x:f>IF($E139="Amânat",0,Setari!$B$8)</x:f>
        <x:v>8</x:v>
      </x:c>
      <x:c r="J139" s="121" t="n">
        <x:f>IF($E139="Amânat",0,Setari!$B$9)</x:f>
        <x:v>5</x:v>
      </x:c>
      <x:c r="K139" s="121" t="n">
        <x:f>SUM(G139:J139)</x:f>
        <x:v>48</x:v>
      </x:c>
      <x:c r="L139" s="122" t="n">
        <x:f>K139/60</x:f>
        <x:v>0.8</x:v>
      </x:c>
      <x:c r="M139" s="119" t="str">
        <x:v>2017/2017_EN_Matematica_Rezerva_Examen_Subiect_02_LRO.md</x:v>
      </x:c>
      <x:c r="N139" s="119" t="str">
        <x:v>2017/2017_EN_Matematica_Rezerva_Examen_Subiect_02_LRO.pdf</x:v>
      </x:c>
      <x:c r="O139" s="119" t="str">
        <x:v>2017/2017_EN_Matematica_Rezerva_Examen_Barem_02_LRO.md + .pdf</x:v>
      </x:c>
      <x:c r="P139" s="123" t="str"/>
    </x:row>
    <x:row r="140">
      <x:c r="A140" s="118" t="n">
        <x:v>134</x:v>
      </x:c>
      <x:c r="B140" s="119" t="n">
        <x:v>2017</x:v>
      </x:c>
      <x:c r="C140" s="119" t="str">
        <x:v>Sesiunea specială</x:v>
      </x:c>
      <x:c r="D140" s="119" t="str">
        <x:v>2017 EN Matematică Sesiunea Speciala Subiect 04</x:v>
      </x:c>
      <x:c r="E140" s="120" t="str">
        <x:v>Neînceput</x:v>
      </x:c>
      <x:c r="F140" s="120" t="str">
        <x:v>Normal</x:v>
      </x:c>
      <x:c r="G140" s="121" t="n">
        <x:f>IF($E140="Amânat",0,Setari!$B$6)</x:f>
        <x:v>20</x:v>
      </x:c>
      <x:c r="H140" s="121" t="n">
        <x:f>IF($E140="Amânat",0,Setari!$B$7)</x:f>
        <x:v>15</x:v>
      </x:c>
      <x:c r="I140" s="121" t="n">
        <x:f>IF($E140="Amânat",0,Setari!$B$8)</x:f>
        <x:v>8</x:v>
      </x:c>
      <x:c r="J140" s="121" t="n">
        <x:f>IF($E140="Amânat",0,Setari!$B$9)</x:f>
        <x:v>5</x:v>
      </x:c>
      <x:c r="K140" s="121" t="n">
        <x:f>SUM(G140:J140)</x:f>
        <x:v>48</x:v>
      </x:c>
      <x:c r="L140" s="122" t="n">
        <x:f>K140/60</x:f>
        <x:v>0.8</x:v>
      </x:c>
      <x:c r="M140" s="119" t="str">
        <x:v>2017/2017_EN_Matematica_Sesiunea_Speciala_Subiect_04_LRO.md</x:v>
      </x:c>
      <x:c r="N140" s="119" t="str">
        <x:v>2017/2017_EN_Matematica_Sesiunea_Speciala_Subiect_04_LRO.pdf</x:v>
      </x:c>
      <x:c r="O140" s="119" t="str">
        <x:v>2017/2017_EN_Matematica_Sesiunea_Speciala_Barem_04_LRO.md + .pdf</x:v>
      </x:c>
      <x:c r="P140" s="123" t="str"/>
    </x:row>
    <x:row r="141">
      <x:c r="A141" s="118" t="n">
        <x:v>135</x:v>
      </x:c>
      <x:c r="B141" s="119" t="n">
        <x:v>2017</x:v>
      </x:c>
      <x:c r="C141" s="119" t="str">
        <x:v>Simulare</x:v>
      </x:c>
      <x:c r="D141" s="119" t="str">
        <x:v>2017 EN Matematică Simulare Subiect</x:v>
      </x:c>
      <x:c r="E141" s="120" t="str">
        <x:v>Neînceput</x:v>
      </x:c>
      <x:c r="F141" s="120" t="str">
        <x:v>Normal</x:v>
      </x:c>
      <x:c r="G141" s="121" t="n">
        <x:f>IF($E141="Amânat",0,Setari!$B$6)</x:f>
        <x:v>20</x:v>
      </x:c>
      <x:c r="H141" s="121" t="n">
        <x:f>IF($E141="Amânat",0,Setari!$B$7)</x:f>
        <x:v>15</x:v>
      </x:c>
      <x:c r="I141" s="121" t="n">
        <x:f>IF($E141="Amânat",0,Setari!$B$8)</x:f>
        <x:v>8</x:v>
      </x:c>
      <x:c r="J141" s="121" t="n">
        <x:f>IF($E141="Amânat",0,Setari!$B$9)</x:f>
        <x:v>5</x:v>
      </x:c>
      <x:c r="K141" s="121" t="n">
        <x:f>SUM(G141:J141)</x:f>
        <x:v>48</x:v>
      </x:c>
      <x:c r="L141" s="122" t="n">
        <x:f>K141/60</x:f>
        <x:v>0.8</x:v>
      </x:c>
      <x:c r="M141" s="119" t="str">
        <x:v>2017/2017_EN_Matematica_Simulare_Subiect_LRO.md</x:v>
      </x:c>
      <x:c r="N141" s="119" t="str">
        <x:v>2017/2017_EN_Matematica_Simulare_Subiect_LRO.pdf</x:v>
      </x:c>
      <x:c r="O141" s="119" t="str">
        <x:v>2017/2017_EN_Matematica_Simulare_Barem_LRO.md + .pdf</x:v>
      </x:c>
      <x:c r="P141" s="123" t="str"/>
    </x:row>
    <x:row r="142">
      <x:c r="A142" s="118" t="n">
        <x:v>136</x:v>
      </x:c>
      <x:c r="B142" s="119" t="n">
        <x:v>2018</x:v>
      </x:c>
      <x:c r="C142" s="119" t="str">
        <x:v>Examen</x:v>
      </x:c>
      <x:c r="D142" s="119" t="str">
        <x:v>2018 EN Matematică Examen Subiect 06</x:v>
      </x:c>
      <x:c r="E142" s="120" t="str">
        <x:v>Neînceput</x:v>
      </x:c>
      <x:c r="F142" s="120" t="str">
        <x:v>Normal</x:v>
      </x:c>
      <x:c r="G142" s="121" t="n">
        <x:f>IF($E142="Amânat",0,Setari!$B$6)</x:f>
        <x:v>20</x:v>
      </x:c>
      <x:c r="H142" s="121" t="n">
        <x:f>IF($E142="Amânat",0,Setari!$B$7)</x:f>
        <x:v>15</x:v>
      </x:c>
      <x:c r="I142" s="121" t="n">
        <x:f>IF($E142="Amânat",0,Setari!$B$8)</x:f>
        <x:v>8</x:v>
      </x:c>
      <x:c r="J142" s="121" t="n">
        <x:f>IF($E142="Amânat",0,Setari!$B$9)</x:f>
        <x:v>5</x:v>
      </x:c>
      <x:c r="K142" s="121" t="n">
        <x:f>SUM(G142:J142)</x:f>
        <x:v>48</x:v>
      </x:c>
      <x:c r="L142" s="122" t="n">
        <x:f>K142/60</x:f>
        <x:v>0.8</x:v>
      </x:c>
      <x:c r="M142" s="119" t="str">
        <x:v>2018/2018_EN_Matematica_Examen_Subiect_06_LRO.md</x:v>
      </x:c>
      <x:c r="N142" s="119" t="str">
        <x:v>2018/2018_EN_Matematica_Examen_Subiect_06_LRO.pdf</x:v>
      </x:c>
      <x:c r="O142" s="119" t="str">
        <x:v>2018/2018_EN_Matematica_Examen_Barem_06_LRO.md + .pdf</x:v>
      </x:c>
      <x:c r="P142" s="123" t="str"/>
    </x:row>
    <x:row r="143">
      <x:c r="A143" s="118" t="n">
        <x:v>137</x:v>
      </x:c>
      <x:c r="B143" s="119" t="n">
        <x:v>2018</x:v>
      </x:c>
      <x:c r="C143" s="119" t="str">
        <x:v>Rezervă</x:v>
      </x:c>
      <x:c r="D143" s="119" t="str">
        <x:v>2018 EN Matematică Rezerva Examen Subiect 04</x:v>
      </x:c>
      <x:c r="E143" s="120" t="str">
        <x:v>Neînceput</x:v>
      </x:c>
      <x:c r="F143" s="120" t="str">
        <x:v>Normal</x:v>
      </x:c>
      <x:c r="G143" s="121" t="n">
        <x:f>IF($E143="Amânat",0,Setari!$B$6)</x:f>
        <x:v>20</x:v>
      </x:c>
      <x:c r="H143" s="121" t="n">
        <x:f>IF($E143="Amânat",0,Setari!$B$7)</x:f>
        <x:v>15</x:v>
      </x:c>
      <x:c r="I143" s="121" t="n">
        <x:f>IF($E143="Amânat",0,Setari!$B$8)</x:f>
        <x:v>8</x:v>
      </x:c>
      <x:c r="J143" s="121" t="n">
        <x:f>IF($E143="Amânat",0,Setari!$B$9)</x:f>
        <x:v>5</x:v>
      </x:c>
      <x:c r="K143" s="121" t="n">
        <x:f>SUM(G143:J143)</x:f>
        <x:v>48</x:v>
      </x:c>
      <x:c r="L143" s="122" t="n">
        <x:f>K143/60</x:f>
        <x:v>0.8</x:v>
      </x:c>
      <x:c r="M143" s="119" t="str">
        <x:v>2018/2018_EN_Matematica_Rezerva_Examen_Subiect_04_LRO.md</x:v>
      </x:c>
      <x:c r="N143" s="119" t="str">
        <x:v>2018/2018_EN_Matematica_Rezerva_Examen_Subiect_04_LRO.pdf</x:v>
      </x:c>
      <x:c r="O143" s="119" t="str">
        <x:v>2018/2018_EN_Matematica_Rezerva_Examen_Barem_04_LRO.md + .pdf</x:v>
      </x:c>
      <x:c r="P143" s="123" t="str"/>
    </x:row>
    <x:row r="144">
      <x:c r="A144" s="118" t="n">
        <x:v>138</x:v>
      </x:c>
      <x:c r="B144" s="119" t="n">
        <x:v>2018</x:v>
      </x:c>
      <x:c r="C144" s="119" t="str">
        <x:v>Simulare</x:v>
      </x:c>
      <x:c r="D144" s="119" t="str">
        <x:v>2018 EN Matematică Simulare Subiect</x:v>
      </x:c>
      <x:c r="E144" s="120" t="str">
        <x:v>Neînceput</x:v>
      </x:c>
      <x:c r="F144" s="120" t="str">
        <x:v>Normal</x:v>
      </x:c>
      <x:c r="G144" s="121" t="n">
        <x:f>IF($E144="Amânat",0,Setari!$B$6)</x:f>
        <x:v>20</x:v>
      </x:c>
      <x:c r="H144" s="121" t="n">
        <x:f>IF($E144="Amânat",0,Setari!$B$7)</x:f>
        <x:v>15</x:v>
      </x:c>
      <x:c r="I144" s="121" t="n">
        <x:f>IF($E144="Amânat",0,Setari!$B$8)</x:f>
        <x:v>8</x:v>
      </x:c>
      <x:c r="J144" s="121" t="n">
        <x:f>IF($E144="Amânat",0,Setari!$B$9)</x:f>
        <x:v>5</x:v>
      </x:c>
      <x:c r="K144" s="121" t="n">
        <x:f>SUM(G144:J144)</x:f>
        <x:v>48</x:v>
      </x:c>
      <x:c r="L144" s="122" t="n">
        <x:f>K144/60</x:f>
        <x:v>0.8</x:v>
      </x:c>
      <x:c r="M144" s="119" t="str">
        <x:v>2018/2018_EN_Matematica_Simulare_Subiect_LRO.md</x:v>
      </x:c>
      <x:c r="N144" s="119" t="str">
        <x:v>2018/2018_EN_Matematica_Simulare_Subiect_LRO.pdf</x:v>
      </x:c>
      <x:c r="O144" s="119" t="str">
        <x:v>2018/2018_EN_Matematica_Simulare_Barem_LRO.md + .pdf</x:v>
      </x:c>
      <x:c r="P144" s="123" t="str"/>
    </x:row>
    <x:row r="145">
      <x:c r="A145" s="118" t="n">
        <x:v>139</x:v>
      </x:c>
      <x:c r="B145" s="119" t="n">
        <x:v>2019</x:v>
      </x:c>
      <x:c r="C145" s="119" t="str">
        <x:v>Examen</x:v>
      </x:c>
      <x:c r="D145" s="119" t="str">
        <x:v>2019 EN Matematică Examen Subiect 01</x:v>
      </x:c>
      <x:c r="E145" s="120" t="str">
        <x:v>Neînceput</x:v>
      </x:c>
      <x:c r="F145" s="120" t="str">
        <x:v>Normal</x:v>
      </x:c>
      <x:c r="G145" s="121" t="n">
        <x:f>IF($E145="Amânat",0,Setari!$B$6)</x:f>
        <x:v>20</x:v>
      </x:c>
      <x:c r="H145" s="121" t="n">
        <x:f>IF($E145="Amânat",0,Setari!$B$7)</x:f>
        <x:v>15</x:v>
      </x:c>
      <x:c r="I145" s="121" t="n">
        <x:f>IF($E145="Amânat",0,Setari!$B$8)</x:f>
        <x:v>8</x:v>
      </x:c>
      <x:c r="J145" s="121" t="n">
        <x:f>IF($E145="Amânat",0,Setari!$B$9)</x:f>
        <x:v>5</x:v>
      </x:c>
      <x:c r="K145" s="121" t="n">
        <x:f>SUM(G145:J145)</x:f>
        <x:v>48</x:v>
      </x:c>
      <x:c r="L145" s="122" t="n">
        <x:f>K145/60</x:f>
        <x:v>0.8</x:v>
      </x:c>
      <x:c r="M145" s="119" t="str">
        <x:v>2019/2019_EN_Matematica_Examen_Subiect_01_LRO.md</x:v>
      </x:c>
      <x:c r="N145" s="119" t="str">
        <x:v>2019/2019_EN_Matematica_Examen_Subiect_01_LRO.pdf</x:v>
      </x:c>
      <x:c r="O145" s="119" t="str">
        <x:v>2019/2019_EN_Matematica_Examen_Barem_01_LRO.md + .pdf</x:v>
      </x:c>
      <x:c r="P145" s="123" t="str"/>
    </x:row>
    <x:row r="146">
      <x:c r="A146" s="118" t="n">
        <x:v>140</x:v>
      </x:c>
      <x:c r="B146" s="119" t="n">
        <x:v>2019</x:v>
      </x:c>
      <x:c r="C146" s="119" t="str">
        <x:v>Model</x:v>
      </x:c>
      <x:c r="D146" s="119" t="str">
        <x:v>2019 EN Matematică Model Subiect</x:v>
      </x:c>
      <x:c r="E146" s="120" t="str">
        <x:v>Neînceput</x:v>
      </x:c>
      <x:c r="F146" s="120" t="str">
        <x:v>Normal</x:v>
      </x:c>
      <x:c r="G146" s="121" t="n">
        <x:f>IF($E146="Amânat",0,Setari!$B$6)</x:f>
        <x:v>20</x:v>
      </x:c>
      <x:c r="H146" s="121" t="n">
        <x:f>IF($E146="Amânat",0,Setari!$B$7)</x:f>
        <x:v>15</x:v>
      </x:c>
      <x:c r="I146" s="121" t="n">
        <x:f>IF($E146="Amânat",0,Setari!$B$8)</x:f>
        <x:v>8</x:v>
      </x:c>
      <x:c r="J146" s="121" t="n">
        <x:f>IF($E146="Amânat",0,Setari!$B$9)</x:f>
        <x:v>5</x:v>
      </x:c>
      <x:c r="K146" s="121" t="n">
        <x:f>SUM(G146:J146)</x:f>
        <x:v>48</x:v>
      </x:c>
      <x:c r="L146" s="122" t="n">
        <x:f>K146/60</x:f>
        <x:v>0.8</x:v>
      </x:c>
      <x:c r="M146" s="119" t="str">
        <x:v>2019/2019_EN_Matematica_Model_Subiect_LRO.md</x:v>
      </x:c>
      <x:c r="N146" s="119" t="str">
        <x:v>2019/2019_EN_Matematica_Model_Subiect_LRO.pdf</x:v>
      </x:c>
      <x:c r="O146" s="119" t="str">
        <x:v>2019/2019_EN_Matematica_Model_Barem_LRO.md + .pdf</x:v>
      </x:c>
      <x:c r="P146" s="123" t="str"/>
    </x:row>
    <x:row r="147">
      <x:c r="A147" s="118" t="n">
        <x:v>141</x:v>
      </x:c>
      <x:c r="B147" s="119" t="n">
        <x:v>2019</x:v>
      </x:c>
      <x:c r="C147" s="119" t="str">
        <x:v>Rezervă</x:v>
      </x:c>
      <x:c r="D147" s="119" t="str">
        <x:v>2019 EN Matematică Rezerva Examen Subiect 02</x:v>
      </x:c>
      <x:c r="E147" s="120" t="str">
        <x:v>Neînceput</x:v>
      </x:c>
      <x:c r="F147" s="120" t="str">
        <x:v>Normal</x:v>
      </x:c>
      <x:c r="G147" s="121" t="n">
        <x:f>IF($E147="Amânat",0,Setari!$B$6)</x:f>
        <x:v>20</x:v>
      </x:c>
      <x:c r="H147" s="121" t="n">
        <x:f>IF($E147="Amânat",0,Setari!$B$7)</x:f>
        <x:v>15</x:v>
      </x:c>
      <x:c r="I147" s="121" t="n">
        <x:f>IF($E147="Amânat",0,Setari!$B$8)</x:f>
        <x:v>8</x:v>
      </x:c>
      <x:c r="J147" s="121" t="n">
        <x:f>IF($E147="Amânat",0,Setari!$B$9)</x:f>
        <x:v>5</x:v>
      </x:c>
      <x:c r="K147" s="121" t="n">
        <x:f>SUM(G147:J147)</x:f>
        <x:v>48</x:v>
      </x:c>
      <x:c r="L147" s="122" t="n">
        <x:f>K147/60</x:f>
        <x:v>0.8</x:v>
      </x:c>
      <x:c r="M147" s="119" t="str">
        <x:v>2019/2019_EN_Matematica_Rezerva_Examen_Subiect_02_LRO.md</x:v>
      </x:c>
      <x:c r="N147" s="119" t="str">
        <x:v>2019/2019_EN_Matematica_Rezerva_Examen_Subiect_02_LRO.pdf</x:v>
      </x:c>
      <x:c r="O147" s="119" t="str">
        <x:v>2019/2019_EN_Matematica_Rezerva_Examen_Barem_02_LRO.md + .pdf</x:v>
      </x:c>
      <x:c r="P147" s="123" t="str"/>
    </x:row>
    <x:row r="148">
      <x:c r="A148" s="118" t="n">
        <x:v>142</x:v>
      </x:c>
      <x:c r="B148" s="119" t="n">
        <x:v>2019</x:v>
      </x:c>
      <x:c r="C148" s="119" t="str">
        <x:v>Simulare</x:v>
      </x:c>
      <x:c r="D148" s="119" t="str">
        <x:v>2019 EN Matematică Simulare7 Subiect</x:v>
      </x:c>
      <x:c r="E148" s="120" t="str">
        <x:v>Neînceput</x:v>
      </x:c>
      <x:c r="F148" s="120" t="str">
        <x:v>Normal</x:v>
      </x:c>
      <x:c r="G148" s="121" t="n">
        <x:f>IF($E148="Amânat",0,Setari!$B$6)</x:f>
        <x:v>20</x:v>
      </x:c>
      <x:c r="H148" s="121" t="n">
        <x:f>IF($E148="Amânat",0,Setari!$B$7)</x:f>
        <x:v>15</x:v>
      </x:c>
      <x:c r="I148" s="121" t="n">
        <x:f>IF($E148="Amânat",0,Setari!$B$8)</x:f>
        <x:v>8</x:v>
      </x:c>
      <x:c r="J148" s="121" t="n">
        <x:f>IF($E148="Amânat",0,Setari!$B$9)</x:f>
        <x:v>5</x:v>
      </x:c>
      <x:c r="K148" s="121" t="n">
        <x:f>SUM(G148:J148)</x:f>
        <x:v>48</x:v>
      </x:c>
      <x:c r="L148" s="122" t="n">
        <x:f>K148/60</x:f>
        <x:v>0.8</x:v>
      </x:c>
      <x:c r="M148" s="119" t="str">
        <x:v>2019/2019_EN_Matematica_Simulare7_Subiect_LRO.md</x:v>
      </x:c>
      <x:c r="N148" s="119" t="str">
        <x:v>2019/2019_EN_Matematica_Simulare7_Subiect_LRO.pdf</x:v>
      </x:c>
      <x:c r="O148" s="119" t="str">
        <x:v>2019/2019_EN_Matematica_Simulare7_Barem_LRO.md + .pdf</x:v>
      </x:c>
      <x:c r="P148" s="123" t="str"/>
    </x:row>
    <x:row r="149">
      <x:c r="A149" s="118" t="n">
        <x:v>143</x:v>
      </x:c>
      <x:c r="B149" s="119" t="n">
        <x:v>2019</x:v>
      </x:c>
      <x:c r="C149" s="119" t="str">
        <x:v>Simulare</x:v>
      </x:c>
      <x:c r="D149" s="119" t="str">
        <x:v>2019 EN Matematică Simulare8 Subiect</x:v>
      </x:c>
      <x:c r="E149" s="120" t="str">
        <x:v>Neînceput</x:v>
      </x:c>
      <x:c r="F149" s="120" t="str">
        <x:v>Normal</x:v>
      </x:c>
      <x:c r="G149" s="121" t="n">
        <x:f>IF($E149="Amânat",0,Setari!$B$6)</x:f>
        <x:v>20</x:v>
      </x:c>
      <x:c r="H149" s="121" t="n">
        <x:f>IF($E149="Amânat",0,Setari!$B$7)</x:f>
        <x:v>15</x:v>
      </x:c>
      <x:c r="I149" s="121" t="n">
        <x:f>IF($E149="Amânat",0,Setari!$B$8)</x:f>
        <x:v>8</x:v>
      </x:c>
      <x:c r="J149" s="121" t="n">
        <x:f>IF($E149="Amânat",0,Setari!$B$9)</x:f>
        <x:v>5</x:v>
      </x:c>
      <x:c r="K149" s="121" t="n">
        <x:f>SUM(G149:J149)</x:f>
        <x:v>48</x:v>
      </x:c>
      <x:c r="L149" s="122" t="n">
        <x:f>K149/60</x:f>
        <x:v>0.8</x:v>
      </x:c>
      <x:c r="M149" s="119" t="str">
        <x:v>2019/2019_EN_Matematica_Simulare8_Subiect_LRO.md</x:v>
      </x:c>
      <x:c r="N149" s="119" t="str">
        <x:v>2019/2019_EN_Matematica_Simulare8_Subiect_LRO.pdf</x:v>
      </x:c>
      <x:c r="O149" s="119" t="str">
        <x:v>2019/2019_EN_Matematica_Simulare8_Barem_LRO.md + .pdf</x:v>
      </x:c>
      <x:c r="P149" s="123" t="str"/>
    </x:row>
    <x:row r="150">
      <x:c r="A150" s="118" t="n">
        <x:v>144</x:v>
      </x:c>
      <x:c r="B150" s="119" t="n">
        <x:v>2020</x:v>
      </x:c>
      <x:c r="C150" s="119" t="str">
        <x:v>Examen</x:v>
      </x:c>
      <x:c r="D150" s="119" t="str">
        <x:v>2020 EN Matematică Examen Subiect 01</x:v>
      </x:c>
      <x:c r="E150" s="120" t="str">
        <x:v>Neînceput</x:v>
      </x:c>
      <x:c r="F150" s="120" t="str">
        <x:v>Normal</x:v>
      </x:c>
      <x:c r="G150" s="121" t="n">
        <x:f>IF($E150="Amânat",0,Setari!$B$6)</x:f>
        <x:v>20</x:v>
      </x:c>
      <x:c r="H150" s="121" t="n">
        <x:f>IF($E150="Amânat",0,Setari!$B$7)</x:f>
        <x:v>15</x:v>
      </x:c>
      <x:c r="I150" s="121" t="n">
        <x:f>IF($E150="Amânat",0,Setari!$B$8)</x:f>
        <x:v>8</x:v>
      </x:c>
      <x:c r="J150" s="121" t="n">
        <x:f>IF($E150="Amânat",0,Setari!$B$9)</x:f>
        <x:v>5</x:v>
      </x:c>
      <x:c r="K150" s="121" t="n">
        <x:f>SUM(G150:J150)</x:f>
        <x:v>48</x:v>
      </x:c>
      <x:c r="L150" s="122" t="n">
        <x:f>K150/60</x:f>
        <x:v>0.8</x:v>
      </x:c>
      <x:c r="M150" s="119" t="str">
        <x:v>2020/2020_EN_Matematica_Examen_Subiect_01_LRO.md</x:v>
      </x:c>
      <x:c r="N150" s="119" t="str">
        <x:v>2020/2020_EN_Matematica_Examen_Subiect_01_LRO.pdf</x:v>
      </x:c>
      <x:c r="O150" s="119" t="str">
        <x:v>2020/2020_EN_Matematica_Examen_Barem_01_LRO.md + .pdf</x:v>
      </x:c>
      <x:c r="P150" s="123" t="str"/>
    </x:row>
    <x:row r="151">
      <x:c r="A151" s="118" t="n">
        <x:v>145</x:v>
      </x:c>
      <x:c r="B151" s="119" t="n">
        <x:v>2020</x:v>
      </x:c>
      <x:c r="C151" s="119" t="str">
        <x:v>Model</x:v>
      </x:c>
      <x:c r="D151" s="119" t="str">
        <x:v>2020 EN Matematică Model Subiect</x:v>
      </x:c>
      <x:c r="E151" s="120" t="str">
        <x:v>Neînceput</x:v>
      </x:c>
      <x:c r="F151" s="120" t="str">
        <x:v>Normal</x:v>
      </x:c>
      <x:c r="G151" s="121" t="n">
        <x:f>IF($E151="Amânat",0,Setari!$B$6)</x:f>
        <x:v>20</x:v>
      </x:c>
      <x:c r="H151" s="121" t="n">
        <x:f>IF($E151="Amânat",0,Setari!$B$7)</x:f>
        <x:v>15</x:v>
      </x:c>
      <x:c r="I151" s="121" t="n">
        <x:f>IF($E151="Amânat",0,Setari!$B$8)</x:f>
        <x:v>8</x:v>
      </x:c>
      <x:c r="J151" s="121" t="n">
        <x:f>IF($E151="Amânat",0,Setari!$B$9)</x:f>
        <x:v>5</x:v>
      </x:c>
      <x:c r="K151" s="121" t="n">
        <x:f>SUM(G151:J151)</x:f>
        <x:v>48</x:v>
      </x:c>
      <x:c r="L151" s="122" t="n">
        <x:f>K151/60</x:f>
        <x:v>0.8</x:v>
      </x:c>
      <x:c r="M151" s="119" t="str">
        <x:v>2020/2020_EN_Matematica_Model_Subiect_LRO.md</x:v>
      </x:c>
      <x:c r="N151" s="119" t="str">
        <x:v>2020/2020_EN_Matematica_Model_Subiect_LRO.pdf</x:v>
      </x:c>
      <x:c r="O151" s="119" t="str">
        <x:v>2020/2020_EN_Matematica_Model_Barem_LRO.md + .pdf</x:v>
      </x:c>
      <x:c r="P151" s="123" t="str"/>
    </x:row>
    <x:row r="152">
      <x:c r="A152" s="118" t="n">
        <x:v>146</x:v>
      </x:c>
      <x:c r="B152" s="119" t="n">
        <x:v>2020</x:v>
      </x:c>
      <x:c r="C152" s="119" t="str">
        <x:v>Rezervă</x:v>
      </x:c>
      <x:c r="D152" s="119" t="str">
        <x:v>2020 EN Matematică Rezerva Examen Subiect 03</x:v>
      </x:c>
      <x:c r="E152" s="120" t="str">
        <x:v>Neînceput</x:v>
      </x:c>
      <x:c r="F152" s="120" t="str">
        <x:v>Normal</x:v>
      </x:c>
      <x:c r="G152" s="121" t="n">
        <x:f>IF($E152="Amânat",0,Setari!$B$6)</x:f>
        <x:v>20</x:v>
      </x:c>
      <x:c r="H152" s="121" t="n">
        <x:f>IF($E152="Amânat",0,Setari!$B$7)</x:f>
        <x:v>15</x:v>
      </x:c>
      <x:c r="I152" s="121" t="n">
        <x:f>IF($E152="Amânat",0,Setari!$B$8)</x:f>
        <x:v>8</x:v>
      </x:c>
      <x:c r="J152" s="121" t="n">
        <x:f>IF($E152="Amânat",0,Setari!$B$9)</x:f>
        <x:v>5</x:v>
      </x:c>
      <x:c r="K152" s="121" t="n">
        <x:f>SUM(G152:J152)</x:f>
        <x:v>48</x:v>
      </x:c>
      <x:c r="L152" s="122" t="n">
        <x:f>K152/60</x:f>
        <x:v>0.8</x:v>
      </x:c>
      <x:c r="M152" s="119" t="str">
        <x:v>2020/2020_EN_Matematica_Rezerva_Examen_Subiect_03_LRO.md</x:v>
      </x:c>
      <x:c r="N152" s="119" t="str">
        <x:v>2020/2020_EN_Matematica_Rezerva_Examen_Subiect_03_LRO.pdf</x:v>
      </x:c>
      <x:c r="O152" s="119" t="str">
        <x:v>2020/2020_EN_Matematica_Rezerva_Examen_Barem_03_LRO.md + .pdf</x:v>
      </x:c>
      <x:c r="P152" s="123" t="str"/>
    </x:row>
    <x:row r="153">
      <x:c r="A153" s="118" t="n">
        <x:v>147</x:v>
      </x:c>
      <x:c r="B153" s="119" t="n">
        <x:v>2020</x:v>
      </x:c>
      <x:c r="C153" s="119" t="str">
        <x:v>Sesiunea specială</x:v>
      </x:c>
      <x:c r="D153" s="119" t="str">
        <x:v>2020 EN Matematică Sesiunea Speciala Subiect 04</x:v>
      </x:c>
      <x:c r="E153" s="120" t="str">
        <x:v>Neînceput</x:v>
      </x:c>
      <x:c r="F153" s="120" t="str">
        <x:v>Normal</x:v>
      </x:c>
      <x:c r="G153" s="121" t="n">
        <x:f>IF($E153="Amânat",0,Setari!$B$6)</x:f>
        <x:v>20</x:v>
      </x:c>
      <x:c r="H153" s="121" t="n">
        <x:f>IF($E153="Amânat",0,Setari!$B$7)</x:f>
        <x:v>15</x:v>
      </x:c>
      <x:c r="I153" s="121" t="n">
        <x:f>IF($E153="Amânat",0,Setari!$B$8)</x:f>
        <x:v>8</x:v>
      </x:c>
      <x:c r="J153" s="121" t="n">
        <x:f>IF($E153="Amânat",0,Setari!$B$9)</x:f>
        <x:v>5</x:v>
      </x:c>
      <x:c r="K153" s="121" t="n">
        <x:f>SUM(G153:J153)</x:f>
        <x:v>48</x:v>
      </x:c>
      <x:c r="L153" s="122" t="n">
        <x:f>K153/60</x:f>
        <x:v>0.8</x:v>
      </x:c>
      <x:c r="M153" s="119" t="str">
        <x:v>2020/2020_EN_Matematica_Sesiunea_Speciala_Subiect_04_LRO.md</x:v>
      </x:c>
      <x:c r="N153" s="119" t="str">
        <x:v>2020/2020_EN_Matematica_Sesiunea_Speciala_Subiect_04_LRO.pdf</x:v>
      </x:c>
      <x:c r="O153" s="119" t="str">
        <x:v>2020/2020_EN_Matematica_Sesiunea_Speciala_Barem_04_LRO.md + .pdf</x:v>
      </x:c>
      <x:c r="P153" s="123" t="str"/>
    </x:row>
    <x:row r="154">
      <x:c r="A154" s="118" t="n">
        <x:v>148</x:v>
      </x:c>
      <x:c r="B154" s="119" t="n">
        <x:v>2020</x:v>
      </x:c>
      <x:c r="C154" s="119" t="str">
        <x:v>Test</x:v>
      </x:c>
      <x:c r="D154" s="119" t="str">
        <x:v>2020 ENVIII Matematică Test 01</x:v>
      </x:c>
      <x:c r="E154" s="120" t="str">
        <x:v>Neînceput</x:v>
      </x:c>
      <x:c r="F154" s="120" t="str">
        <x:v>Normal</x:v>
      </x:c>
      <x:c r="G154" s="121" t="n">
        <x:f>IF($E154="Amânat",0,Setari!$B$6)</x:f>
        <x:v>20</x:v>
      </x:c>
      <x:c r="H154" s="121" t="n">
        <x:f>IF($E154="Amânat",0,Setari!$B$7)</x:f>
        <x:v>15</x:v>
      </x:c>
      <x:c r="I154" s="121" t="n">
        <x:f>IF($E154="Amânat",0,Setari!$B$8)</x:f>
        <x:v>8</x:v>
      </x:c>
      <x:c r="J154" s="121" t="n">
        <x:f>IF($E154="Amânat",0,Setari!$B$9)</x:f>
        <x:v>5</x:v>
      </x:c>
      <x:c r="K154" s="121" t="n">
        <x:f>SUM(G154:J154)</x:f>
        <x:v>48</x:v>
      </x:c>
      <x:c r="L154" s="122" t="n">
        <x:f>K154/60</x:f>
        <x:v>0.8</x:v>
      </x:c>
      <x:c r="M154" s="119" t="str">
        <x:v>2020/2020_ENVIII_matematica_Test_01.md</x:v>
      </x:c>
      <x:c r="N154" s="119" t="str">
        <x:v>2020/2020_ENVIII_matematica_Test_01.pdf</x:v>
      </x:c>
      <x:c r="O154" s="119" t="str">
        <x:v>2020/2020_ENVIII_matematica_Barem_01.md + .pdf</x:v>
      </x:c>
      <x:c r="P154" s="123" t="str"/>
    </x:row>
    <x:row r="155">
      <x:c r="A155" s="118" t="n">
        <x:v>149</x:v>
      </x:c>
      <x:c r="B155" s="119" t="n">
        <x:v>2020</x:v>
      </x:c>
      <x:c r="C155" s="119" t="str">
        <x:v>Test</x:v>
      </x:c>
      <x:c r="D155" s="119" t="str">
        <x:v>2020 ENVIII Matematică Test 02</x:v>
      </x:c>
      <x:c r="E155" s="120" t="str">
        <x:v>Neînceput</x:v>
      </x:c>
      <x:c r="F155" s="120" t="str">
        <x:v>Normal</x:v>
      </x:c>
      <x:c r="G155" s="121" t="n">
        <x:f>IF($E155="Amânat",0,Setari!$B$6)</x:f>
        <x:v>20</x:v>
      </x:c>
      <x:c r="H155" s="121" t="n">
        <x:f>IF($E155="Amânat",0,Setari!$B$7)</x:f>
        <x:v>15</x:v>
      </x:c>
      <x:c r="I155" s="121" t="n">
        <x:f>IF($E155="Amânat",0,Setari!$B$8)</x:f>
        <x:v>8</x:v>
      </x:c>
      <x:c r="J155" s="121" t="n">
        <x:f>IF($E155="Amânat",0,Setari!$B$9)</x:f>
        <x:v>5</x:v>
      </x:c>
      <x:c r="K155" s="121" t="n">
        <x:f>SUM(G155:J155)</x:f>
        <x:v>48</x:v>
      </x:c>
      <x:c r="L155" s="122" t="n">
        <x:f>K155/60</x:f>
        <x:v>0.8</x:v>
      </x:c>
      <x:c r="M155" s="119" t="str">
        <x:v>2020/2020_ENVIII_matematica_Test_02.md</x:v>
      </x:c>
      <x:c r="N155" s="119" t="str">
        <x:v>2020/2020_ENVIII_matematica_Test_02.pdf</x:v>
      </x:c>
      <x:c r="O155" s="119" t="str">
        <x:v>2020/2020_ENVIII_matematica_Barem_02.md + .pdf</x:v>
      </x:c>
      <x:c r="P155" s="123" t="str"/>
    </x:row>
    <x:row r="156">
      <x:c r="A156" s="118" t="n">
        <x:v>150</x:v>
      </x:c>
      <x:c r="B156" s="119" t="n">
        <x:v>2020</x:v>
      </x:c>
      <x:c r="C156" s="119" t="str">
        <x:v>Test</x:v>
      </x:c>
      <x:c r="D156" s="119" t="str">
        <x:v>2020 ENVIII Matematică Test 03</x:v>
      </x:c>
      <x:c r="E156" s="120" t="str">
        <x:v>Neînceput</x:v>
      </x:c>
      <x:c r="F156" s="120" t="str">
        <x:v>Normal</x:v>
      </x:c>
      <x:c r="G156" s="121" t="n">
        <x:f>IF($E156="Amânat",0,Setari!$B$6)</x:f>
        <x:v>20</x:v>
      </x:c>
      <x:c r="H156" s="121" t="n">
        <x:f>IF($E156="Amânat",0,Setari!$B$7)</x:f>
        <x:v>15</x:v>
      </x:c>
      <x:c r="I156" s="121" t="n">
        <x:f>IF($E156="Amânat",0,Setari!$B$8)</x:f>
        <x:v>8</x:v>
      </x:c>
      <x:c r="J156" s="121" t="n">
        <x:f>IF($E156="Amânat",0,Setari!$B$9)</x:f>
        <x:v>5</x:v>
      </x:c>
      <x:c r="K156" s="121" t="n">
        <x:f>SUM(G156:J156)</x:f>
        <x:v>48</x:v>
      </x:c>
      <x:c r="L156" s="122" t="n">
        <x:f>K156/60</x:f>
        <x:v>0.8</x:v>
      </x:c>
      <x:c r="M156" s="119" t="str">
        <x:v>2020/2020_ENVIII_matematica_Test_03.md</x:v>
      </x:c>
      <x:c r="N156" s="119" t="str">
        <x:v>2020/2020_ENVIII_matematica_Test_03.pdf</x:v>
      </x:c>
      <x:c r="O156" s="119" t="str">
        <x:v>2020/2020_ENVIII_matematica_Barem_03.md + .pdf</x:v>
      </x:c>
      <x:c r="P156" s="123" t="str"/>
    </x:row>
    <x:row r="157">
      <x:c r="A157" s="118" t="n">
        <x:v>151</x:v>
      </x:c>
      <x:c r="B157" s="119" t="n">
        <x:v>2020</x:v>
      </x:c>
      <x:c r="C157" s="119" t="str">
        <x:v>Test</x:v>
      </x:c>
      <x:c r="D157" s="119" t="str">
        <x:v>2020 ENVIII Matematică Test 04</x:v>
      </x:c>
      <x:c r="E157" s="120" t="str">
        <x:v>Neînceput</x:v>
      </x:c>
      <x:c r="F157" s="120" t="str">
        <x:v>Normal</x:v>
      </x:c>
      <x:c r="G157" s="121" t="n">
        <x:f>IF($E157="Amânat",0,Setari!$B$6)</x:f>
        <x:v>20</x:v>
      </x:c>
      <x:c r="H157" s="121" t="n">
        <x:f>IF($E157="Amânat",0,Setari!$B$7)</x:f>
        <x:v>15</x:v>
      </x:c>
      <x:c r="I157" s="121" t="n">
        <x:f>IF($E157="Amânat",0,Setari!$B$8)</x:f>
        <x:v>8</x:v>
      </x:c>
      <x:c r="J157" s="121" t="n">
        <x:f>IF($E157="Amânat",0,Setari!$B$9)</x:f>
        <x:v>5</x:v>
      </x:c>
      <x:c r="K157" s="121" t="n">
        <x:f>SUM(G157:J157)</x:f>
        <x:v>48</x:v>
      </x:c>
      <x:c r="L157" s="122" t="n">
        <x:f>K157/60</x:f>
        <x:v>0.8</x:v>
      </x:c>
      <x:c r="M157" s="119" t="str">
        <x:v>2020/2020_ENVIII_matematica_Test_04.md</x:v>
      </x:c>
      <x:c r="N157" s="119" t="str">
        <x:v>2020/2020_ENVIII_matematica_Test_04.pdf</x:v>
      </x:c>
      <x:c r="O157" s="119" t="str">
        <x:v>2020/2020_ENVIII_matematica_Barem_04.md + .pdf</x:v>
      </x:c>
      <x:c r="P157" s="123" t="str"/>
    </x:row>
    <x:row r="158">
      <x:c r="A158" s="118" t="n">
        <x:v>152</x:v>
      </x:c>
      <x:c r="B158" s="119" t="n">
        <x:v>2020</x:v>
      </x:c>
      <x:c r="C158" s="119" t="str">
        <x:v>Test</x:v>
      </x:c>
      <x:c r="D158" s="119" t="str">
        <x:v>2020 ENVIII Matematică Test 05</x:v>
      </x:c>
      <x:c r="E158" s="120" t="str">
        <x:v>Neînceput</x:v>
      </x:c>
      <x:c r="F158" s="120" t="str">
        <x:v>Normal</x:v>
      </x:c>
      <x:c r="G158" s="121" t="n">
        <x:f>IF($E158="Amânat",0,Setari!$B$6)</x:f>
        <x:v>20</x:v>
      </x:c>
      <x:c r="H158" s="121" t="n">
        <x:f>IF($E158="Amânat",0,Setari!$B$7)</x:f>
        <x:v>15</x:v>
      </x:c>
      <x:c r="I158" s="121" t="n">
        <x:f>IF($E158="Amânat",0,Setari!$B$8)</x:f>
        <x:v>8</x:v>
      </x:c>
      <x:c r="J158" s="121" t="n">
        <x:f>IF($E158="Amânat",0,Setari!$B$9)</x:f>
        <x:v>5</x:v>
      </x:c>
      <x:c r="K158" s="121" t="n">
        <x:f>SUM(G158:J158)</x:f>
        <x:v>48</x:v>
      </x:c>
      <x:c r="L158" s="122" t="n">
        <x:f>K158/60</x:f>
        <x:v>0.8</x:v>
      </x:c>
      <x:c r="M158" s="119" t="str">
        <x:v>2020/2020_ENVIII_matematica_Test_05.md</x:v>
      </x:c>
      <x:c r="N158" s="119" t="str">
        <x:v>2020/2020_ENVIII_matematica_Test_05.pdf</x:v>
      </x:c>
      <x:c r="O158" s="119" t="str">
        <x:v>2020/2020_ENVIII_matematica_Barem_05.md + .pdf</x:v>
      </x:c>
      <x:c r="P158" s="123" t="str"/>
    </x:row>
    <x:row r="159">
      <x:c r="A159" s="118" t="n">
        <x:v>153</x:v>
      </x:c>
      <x:c r="B159" s="119" t="n">
        <x:v>2020</x:v>
      </x:c>
      <x:c r="C159" s="119" t="str">
        <x:v>Test</x:v>
      </x:c>
      <x:c r="D159" s="119" t="str">
        <x:v>2020 ENVIII Matematică Test 06</x:v>
      </x:c>
      <x:c r="E159" s="120" t="str">
        <x:v>Neînceput</x:v>
      </x:c>
      <x:c r="F159" s="120" t="str">
        <x:v>Normal</x:v>
      </x:c>
      <x:c r="G159" s="121" t="n">
        <x:f>IF($E159="Amânat",0,Setari!$B$6)</x:f>
        <x:v>20</x:v>
      </x:c>
      <x:c r="H159" s="121" t="n">
        <x:f>IF($E159="Amânat",0,Setari!$B$7)</x:f>
        <x:v>15</x:v>
      </x:c>
      <x:c r="I159" s="121" t="n">
        <x:f>IF($E159="Amânat",0,Setari!$B$8)</x:f>
        <x:v>8</x:v>
      </x:c>
      <x:c r="J159" s="121" t="n">
        <x:f>IF($E159="Amânat",0,Setari!$B$9)</x:f>
        <x:v>5</x:v>
      </x:c>
      <x:c r="K159" s="121" t="n">
        <x:f>SUM(G159:J159)</x:f>
        <x:v>48</x:v>
      </x:c>
      <x:c r="L159" s="122" t="n">
        <x:f>K159/60</x:f>
        <x:v>0.8</x:v>
      </x:c>
      <x:c r="M159" s="119" t="str">
        <x:v>2020/2020_ENVIII_matematica_Test_06.md</x:v>
      </x:c>
      <x:c r="N159" s="119" t="str">
        <x:v>2020/2020_ENVIII_matematica_Test_06.pdf</x:v>
      </x:c>
      <x:c r="O159" s="119" t="str">
        <x:v>2020/2020_ENVIII_matematica_Barem_06.md + .pdf</x:v>
      </x:c>
      <x:c r="P159" s="123" t="str"/>
    </x:row>
    <x:row r="160">
      <x:c r="A160" s="118" t="n">
        <x:v>154</x:v>
      </x:c>
      <x:c r="B160" s="119" t="n">
        <x:v>2020</x:v>
      </x:c>
      <x:c r="C160" s="119" t="str">
        <x:v>Test</x:v>
      </x:c>
      <x:c r="D160" s="119" t="str">
        <x:v>2020 ENVIII Matematică Test 07</x:v>
      </x:c>
      <x:c r="E160" s="120" t="str">
        <x:v>Neînceput</x:v>
      </x:c>
      <x:c r="F160" s="120" t="str">
        <x:v>Normal</x:v>
      </x:c>
      <x:c r="G160" s="121" t="n">
        <x:f>IF($E160="Amânat",0,Setari!$B$6)</x:f>
        <x:v>20</x:v>
      </x:c>
      <x:c r="H160" s="121" t="n">
        <x:f>IF($E160="Amânat",0,Setari!$B$7)</x:f>
        <x:v>15</x:v>
      </x:c>
      <x:c r="I160" s="121" t="n">
        <x:f>IF($E160="Amânat",0,Setari!$B$8)</x:f>
        <x:v>8</x:v>
      </x:c>
      <x:c r="J160" s="121" t="n">
        <x:f>IF($E160="Amânat",0,Setari!$B$9)</x:f>
        <x:v>5</x:v>
      </x:c>
      <x:c r="K160" s="121" t="n">
        <x:f>SUM(G160:J160)</x:f>
        <x:v>48</x:v>
      </x:c>
      <x:c r="L160" s="122" t="n">
        <x:f>K160/60</x:f>
        <x:v>0.8</x:v>
      </x:c>
      <x:c r="M160" s="119" t="str">
        <x:v>2020/2020_ENVIII_matematica_Test_07.md</x:v>
      </x:c>
      <x:c r="N160" s="119" t="str">
        <x:v>2020/2020_ENVIII_matematica_Test_07.pdf</x:v>
      </x:c>
      <x:c r="O160" s="119" t="str">
        <x:v>2020/2020_ENVIII_matematica_Barem_07.md + .pdf</x:v>
      </x:c>
      <x:c r="P160" s="123" t="str"/>
    </x:row>
    <x:row r="161">
      <x:c r="A161" s="118" t="n">
        <x:v>155</x:v>
      </x:c>
      <x:c r="B161" s="119" t="n">
        <x:v>2020</x:v>
      </x:c>
      <x:c r="C161" s="119" t="str">
        <x:v>Test</x:v>
      </x:c>
      <x:c r="D161" s="119" t="str">
        <x:v>2020 ENVIII Matematică Test 08</x:v>
      </x:c>
      <x:c r="E161" s="120" t="str">
        <x:v>Neînceput</x:v>
      </x:c>
      <x:c r="F161" s="120" t="str">
        <x:v>Normal</x:v>
      </x:c>
      <x:c r="G161" s="121" t="n">
        <x:f>IF($E161="Amânat",0,Setari!$B$6)</x:f>
        <x:v>20</x:v>
      </x:c>
      <x:c r="H161" s="121" t="n">
        <x:f>IF($E161="Amânat",0,Setari!$B$7)</x:f>
        <x:v>15</x:v>
      </x:c>
      <x:c r="I161" s="121" t="n">
        <x:f>IF($E161="Amânat",0,Setari!$B$8)</x:f>
        <x:v>8</x:v>
      </x:c>
      <x:c r="J161" s="121" t="n">
        <x:f>IF($E161="Amânat",0,Setari!$B$9)</x:f>
        <x:v>5</x:v>
      </x:c>
      <x:c r="K161" s="121" t="n">
        <x:f>SUM(G161:J161)</x:f>
        <x:v>48</x:v>
      </x:c>
      <x:c r="L161" s="122" t="n">
        <x:f>K161/60</x:f>
        <x:v>0.8</x:v>
      </x:c>
      <x:c r="M161" s="119" t="str">
        <x:v>2020/2020_ENVIII_matematica_Test_08.md</x:v>
      </x:c>
      <x:c r="N161" s="119" t="str">
        <x:v>2020/2020_ENVIII_matematica_Test_08.pdf</x:v>
      </x:c>
      <x:c r="O161" s="119" t="str">
        <x:v>2020/2020_ENVIII_matematica_Barem_08.md + .pdf</x:v>
      </x:c>
      <x:c r="P161" s="123" t="str"/>
    </x:row>
    <x:row r="162">
      <x:c r="A162" s="118" t="n">
        <x:v>156</x:v>
      </x:c>
      <x:c r="B162" s="119" t="n">
        <x:v>2020</x:v>
      </x:c>
      <x:c r="C162" s="119" t="str">
        <x:v>Test</x:v>
      </x:c>
      <x:c r="D162" s="119" t="str">
        <x:v>2020 ENVIII Matematică Test 09</x:v>
      </x:c>
      <x:c r="E162" s="120" t="str">
        <x:v>Neînceput</x:v>
      </x:c>
      <x:c r="F162" s="120" t="str">
        <x:v>Normal</x:v>
      </x:c>
      <x:c r="G162" s="121" t="n">
        <x:f>IF($E162="Amânat",0,Setari!$B$6)</x:f>
        <x:v>20</x:v>
      </x:c>
      <x:c r="H162" s="121" t="n">
        <x:f>IF($E162="Amânat",0,Setari!$B$7)</x:f>
        <x:v>15</x:v>
      </x:c>
      <x:c r="I162" s="121" t="n">
        <x:f>IF($E162="Amânat",0,Setari!$B$8)</x:f>
        <x:v>8</x:v>
      </x:c>
      <x:c r="J162" s="121" t="n">
        <x:f>IF($E162="Amânat",0,Setari!$B$9)</x:f>
        <x:v>5</x:v>
      </x:c>
      <x:c r="K162" s="121" t="n">
        <x:f>SUM(G162:J162)</x:f>
        <x:v>48</x:v>
      </x:c>
      <x:c r="L162" s="122" t="n">
        <x:f>K162/60</x:f>
        <x:v>0.8</x:v>
      </x:c>
      <x:c r="M162" s="119" t="str">
        <x:v>2020/2020_ENVIII_matematica_Test_09.md</x:v>
      </x:c>
      <x:c r="N162" s="119" t="str">
        <x:v>2020/2020_ENVIII_matematica_Test_09.pdf</x:v>
      </x:c>
      <x:c r="O162" s="119" t="str">
        <x:v>2020/2020_ENVIII_matematica_Barem_09.md + .pdf</x:v>
      </x:c>
      <x:c r="P162" s="123" t="str"/>
    </x:row>
    <x:row r="163">
      <x:c r="A163" s="118" t="n">
        <x:v>157</x:v>
      </x:c>
      <x:c r="B163" s="119" t="n">
        <x:v>2020</x:v>
      </x:c>
      <x:c r="C163" s="119" t="str">
        <x:v>Test</x:v>
      </x:c>
      <x:c r="D163" s="119" t="str">
        <x:v>2020 ENVIII Matematică Test 10</x:v>
      </x:c>
      <x:c r="E163" s="120" t="str">
        <x:v>Neînceput</x:v>
      </x:c>
      <x:c r="F163" s="120" t="str">
        <x:v>Normal</x:v>
      </x:c>
      <x:c r="G163" s="121" t="n">
        <x:f>IF($E163="Amânat",0,Setari!$B$6)</x:f>
        <x:v>20</x:v>
      </x:c>
      <x:c r="H163" s="121" t="n">
        <x:f>IF($E163="Amânat",0,Setari!$B$7)</x:f>
        <x:v>15</x:v>
      </x:c>
      <x:c r="I163" s="121" t="n">
        <x:f>IF($E163="Amânat",0,Setari!$B$8)</x:f>
        <x:v>8</x:v>
      </x:c>
      <x:c r="J163" s="121" t="n">
        <x:f>IF($E163="Amânat",0,Setari!$B$9)</x:f>
        <x:v>5</x:v>
      </x:c>
      <x:c r="K163" s="121" t="n">
        <x:f>SUM(G163:J163)</x:f>
        <x:v>48</x:v>
      </x:c>
      <x:c r="L163" s="122" t="n">
        <x:f>K163/60</x:f>
        <x:v>0.8</x:v>
      </x:c>
      <x:c r="M163" s="119" t="str">
        <x:v>2020/2020_ENVIII_matematica_Test_10.md</x:v>
      </x:c>
      <x:c r="N163" s="119" t="str">
        <x:v>2020/2020_ENVIII_matematica_Test_10.pdf</x:v>
      </x:c>
      <x:c r="O163" s="119" t="str">
        <x:v>2020/2020_ENVIII_matematica_Barem_10.md + .pdf</x:v>
      </x:c>
      <x:c r="P163" s="123" t="str"/>
    </x:row>
    <x:row r="164">
      <x:c r="A164" s="118" t="n">
        <x:v>158</x:v>
      </x:c>
      <x:c r="B164" s="119" t="n">
        <x:v>2020</x:v>
      </x:c>
      <x:c r="C164" s="119" t="str">
        <x:v>Test</x:v>
      </x:c>
      <x:c r="D164" s="119" t="str">
        <x:v>2020 ENVIII Matematică Test 11</x:v>
      </x:c>
      <x:c r="E164" s="120" t="str">
        <x:v>Neînceput</x:v>
      </x:c>
      <x:c r="F164" s="120" t="str">
        <x:v>Normal</x:v>
      </x:c>
      <x:c r="G164" s="121" t="n">
        <x:f>IF($E164="Amânat",0,Setari!$B$6)</x:f>
        <x:v>20</x:v>
      </x:c>
      <x:c r="H164" s="121" t="n">
        <x:f>IF($E164="Amânat",0,Setari!$B$7)</x:f>
        <x:v>15</x:v>
      </x:c>
      <x:c r="I164" s="121" t="n">
        <x:f>IF($E164="Amânat",0,Setari!$B$8)</x:f>
        <x:v>8</x:v>
      </x:c>
      <x:c r="J164" s="121" t="n">
        <x:f>IF($E164="Amânat",0,Setari!$B$9)</x:f>
        <x:v>5</x:v>
      </x:c>
      <x:c r="K164" s="121" t="n">
        <x:f>SUM(G164:J164)</x:f>
        <x:v>48</x:v>
      </x:c>
      <x:c r="L164" s="122" t="n">
        <x:f>K164/60</x:f>
        <x:v>0.8</x:v>
      </x:c>
      <x:c r="M164" s="119" t="str">
        <x:v>2020/2020_ENVIII_matematica_Test_11.md</x:v>
      </x:c>
      <x:c r="N164" s="119" t="str">
        <x:v>2020/2020_ENVIII_matematica_Test_11.pdf</x:v>
      </x:c>
      <x:c r="O164" s="119" t="str">
        <x:v>2020/2020_ENVIII_matematica_Barem_11.md + .pdf</x:v>
      </x:c>
      <x:c r="P164" s="123" t="str"/>
    </x:row>
    <x:row r="165">
      <x:c r="A165" s="118" t="n">
        <x:v>159</x:v>
      </x:c>
      <x:c r="B165" s="119" t="n">
        <x:v>2020</x:v>
      </x:c>
      <x:c r="C165" s="119" t="str">
        <x:v>Test</x:v>
      </x:c>
      <x:c r="D165" s="119" t="str">
        <x:v>2020 ENVIII Matematică Test 12</x:v>
      </x:c>
      <x:c r="E165" s="120" t="str">
        <x:v>Neînceput</x:v>
      </x:c>
      <x:c r="F165" s="120" t="str">
        <x:v>Normal</x:v>
      </x:c>
      <x:c r="G165" s="121" t="n">
        <x:f>IF($E165="Amânat",0,Setari!$B$6)</x:f>
        <x:v>20</x:v>
      </x:c>
      <x:c r="H165" s="121" t="n">
        <x:f>IF($E165="Amânat",0,Setari!$B$7)</x:f>
        <x:v>15</x:v>
      </x:c>
      <x:c r="I165" s="121" t="n">
        <x:f>IF($E165="Amânat",0,Setari!$B$8)</x:f>
        <x:v>8</x:v>
      </x:c>
      <x:c r="J165" s="121" t="n">
        <x:f>IF($E165="Amânat",0,Setari!$B$9)</x:f>
        <x:v>5</x:v>
      </x:c>
      <x:c r="K165" s="121" t="n">
        <x:f>SUM(G165:J165)</x:f>
        <x:v>48</x:v>
      </x:c>
      <x:c r="L165" s="122" t="n">
        <x:f>K165/60</x:f>
        <x:v>0.8</x:v>
      </x:c>
      <x:c r="M165" s="119" t="str">
        <x:v>2020/2020_ENVIII_matematica_Test_12.md</x:v>
      </x:c>
      <x:c r="N165" s="119" t="str">
        <x:v>2020/2020_ENVIII_matematica_Test_12.pdf</x:v>
      </x:c>
      <x:c r="O165" s="119" t="str">
        <x:v>2020/2020_ENVIII_matematica_Barem_12.md + .pdf</x:v>
      </x:c>
      <x:c r="P165" s="123" t="str"/>
    </x:row>
    <x:row r="166">
      <x:c r="A166" s="118" t="n">
        <x:v>160</x:v>
      </x:c>
      <x:c r="B166" s="119" t="n">
        <x:v>2020</x:v>
      </x:c>
      <x:c r="C166" s="119" t="str">
        <x:v>Test</x:v>
      </x:c>
      <x:c r="D166" s="119" t="str">
        <x:v>2020 ENVIII Matematică Test 13</x:v>
      </x:c>
      <x:c r="E166" s="120" t="str">
        <x:v>Neînceput</x:v>
      </x:c>
      <x:c r="F166" s="120" t="str">
        <x:v>Normal</x:v>
      </x:c>
      <x:c r="G166" s="121" t="n">
        <x:f>IF($E166="Amânat",0,Setari!$B$6)</x:f>
        <x:v>20</x:v>
      </x:c>
      <x:c r="H166" s="121" t="n">
        <x:f>IF($E166="Amânat",0,Setari!$B$7)</x:f>
        <x:v>15</x:v>
      </x:c>
      <x:c r="I166" s="121" t="n">
        <x:f>IF($E166="Amânat",0,Setari!$B$8)</x:f>
        <x:v>8</x:v>
      </x:c>
      <x:c r="J166" s="121" t="n">
        <x:f>IF($E166="Amânat",0,Setari!$B$9)</x:f>
        <x:v>5</x:v>
      </x:c>
      <x:c r="K166" s="121" t="n">
        <x:f>SUM(G166:J166)</x:f>
        <x:v>48</x:v>
      </x:c>
      <x:c r="L166" s="122" t="n">
        <x:f>K166/60</x:f>
        <x:v>0.8</x:v>
      </x:c>
      <x:c r="M166" s="119" t="str">
        <x:v>2020/2020_ENVIII_matematica_Test_13.md</x:v>
      </x:c>
      <x:c r="N166" s="119" t="str">
        <x:v>2020/2020_ENVIII_matematica_Test_13.pdf</x:v>
      </x:c>
      <x:c r="O166" s="119" t="str">
        <x:v>2020/2020_ENVIII_matematica_Barem_13.md + .pdf</x:v>
      </x:c>
      <x:c r="P166" s="123" t="str"/>
    </x:row>
    <x:row r="167">
      <x:c r="A167" s="118" t="n">
        <x:v>161</x:v>
      </x:c>
      <x:c r="B167" s="119" t="n">
        <x:v>2020</x:v>
      </x:c>
      <x:c r="C167" s="119" t="str">
        <x:v>Test</x:v>
      </x:c>
      <x:c r="D167" s="119" t="str">
        <x:v>2020 ENVIII Matematică Test 14</x:v>
      </x:c>
      <x:c r="E167" s="120" t="str">
        <x:v>Neînceput</x:v>
      </x:c>
      <x:c r="F167" s="120" t="str">
        <x:v>Normal</x:v>
      </x:c>
      <x:c r="G167" s="121" t="n">
        <x:f>IF($E167="Amânat",0,Setari!$B$6)</x:f>
        <x:v>20</x:v>
      </x:c>
      <x:c r="H167" s="121" t="n">
        <x:f>IF($E167="Amânat",0,Setari!$B$7)</x:f>
        <x:v>15</x:v>
      </x:c>
      <x:c r="I167" s="121" t="n">
        <x:f>IF($E167="Amânat",0,Setari!$B$8)</x:f>
        <x:v>8</x:v>
      </x:c>
      <x:c r="J167" s="121" t="n">
        <x:f>IF($E167="Amânat",0,Setari!$B$9)</x:f>
        <x:v>5</x:v>
      </x:c>
      <x:c r="K167" s="121" t="n">
        <x:f>SUM(G167:J167)</x:f>
        <x:v>48</x:v>
      </x:c>
      <x:c r="L167" s="122" t="n">
        <x:f>K167/60</x:f>
        <x:v>0.8</x:v>
      </x:c>
      <x:c r="M167" s="119" t="str">
        <x:v>2020/2020_ENVIII_matematica_Test_14.md</x:v>
      </x:c>
      <x:c r="N167" s="119" t="str">
        <x:v>2020/2020_ENVIII_matematica_Test_14.pdf</x:v>
      </x:c>
      <x:c r="O167" s="119" t="str">
        <x:v>2020/2020_ENVIII_matematica_Barem_14.md + .pdf</x:v>
      </x:c>
      <x:c r="P167" s="123" t="str"/>
    </x:row>
    <x:row r="168">
      <x:c r="A168" s="118" t="n">
        <x:v>162</x:v>
      </x:c>
      <x:c r="B168" s="119" t="n">
        <x:v>2020</x:v>
      </x:c>
      <x:c r="C168" s="119" t="str">
        <x:v>Test</x:v>
      </x:c>
      <x:c r="D168" s="119" t="str">
        <x:v>2020 ENVIII Matematică Test 15</x:v>
      </x:c>
      <x:c r="E168" s="120" t="str">
        <x:v>Neînceput</x:v>
      </x:c>
      <x:c r="F168" s="120" t="str">
        <x:v>Normal</x:v>
      </x:c>
      <x:c r="G168" s="121" t="n">
        <x:f>IF($E168="Amânat",0,Setari!$B$6)</x:f>
        <x:v>20</x:v>
      </x:c>
      <x:c r="H168" s="121" t="n">
        <x:f>IF($E168="Amânat",0,Setari!$B$7)</x:f>
        <x:v>15</x:v>
      </x:c>
      <x:c r="I168" s="121" t="n">
        <x:f>IF($E168="Amânat",0,Setari!$B$8)</x:f>
        <x:v>8</x:v>
      </x:c>
      <x:c r="J168" s="121" t="n">
        <x:f>IF($E168="Amânat",0,Setari!$B$9)</x:f>
        <x:v>5</x:v>
      </x:c>
      <x:c r="K168" s="121" t="n">
        <x:f>SUM(G168:J168)</x:f>
        <x:v>48</x:v>
      </x:c>
      <x:c r="L168" s="122" t="n">
        <x:f>K168/60</x:f>
        <x:v>0.8</x:v>
      </x:c>
      <x:c r="M168" s="119" t="str">
        <x:v>2020/2020_ENVIII_matematica_Test_15.md</x:v>
      </x:c>
      <x:c r="N168" s="119" t="str">
        <x:v>2020/2020_ENVIII_matematica_Test_15.pdf</x:v>
      </x:c>
      <x:c r="O168" s="119" t="str">
        <x:v>2020/2020_ENVIII_matematica_Barem_15.md + .pdf</x:v>
      </x:c>
      <x:c r="P168" s="123" t="str"/>
    </x:row>
    <x:row r="169">
      <x:c r="A169" s="118" t="n">
        <x:v>163</x:v>
      </x:c>
      <x:c r="B169" s="119" t="n">
        <x:v>2020</x:v>
      </x:c>
      <x:c r="C169" s="119" t="str">
        <x:v>Test</x:v>
      </x:c>
      <x:c r="D169" s="119" t="str">
        <x:v>2020 ENVIII Matematică Test 16</x:v>
      </x:c>
      <x:c r="E169" s="120" t="str">
        <x:v>Neînceput</x:v>
      </x:c>
      <x:c r="F169" s="120" t="str">
        <x:v>Normal</x:v>
      </x:c>
      <x:c r="G169" s="121" t="n">
        <x:f>IF($E169="Amânat",0,Setari!$B$6)</x:f>
        <x:v>20</x:v>
      </x:c>
      <x:c r="H169" s="121" t="n">
        <x:f>IF($E169="Amânat",0,Setari!$B$7)</x:f>
        <x:v>15</x:v>
      </x:c>
      <x:c r="I169" s="121" t="n">
        <x:f>IF($E169="Amânat",0,Setari!$B$8)</x:f>
        <x:v>8</x:v>
      </x:c>
      <x:c r="J169" s="121" t="n">
        <x:f>IF($E169="Amânat",0,Setari!$B$9)</x:f>
        <x:v>5</x:v>
      </x:c>
      <x:c r="K169" s="121" t="n">
        <x:f>SUM(G169:J169)</x:f>
        <x:v>48</x:v>
      </x:c>
      <x:c r="L169" s="122" t="n">
        <x:f>K169/60</x:f>
        <x:v>0.8</x:v>
      </x:c>
      <x:c r="M169" s="119" t="str">
        <x:v>2020/2020_ENVIII_matematica_Test_16.md</x:v>
      </x:c>
      <x:c r="N169" s="119" t="str">
        <x:v>2020/2020_ENVIII_matematica_Test_16.pdf</x:v>
      </x:c>
      <x:c r="O169" s="119" t="str">
        <x:v>2020/2020_ENVIII_matematica_Barem_16.md + .pdf</x:v>
      </x:c>
      <x:c r="P169" s="123" t="str"/>
    </x:row>
    <x:row r="170">
      <x:c r="A170" s="118" t="n">
        <x:v>164</x:v>
      </x:c>
      <x:c r="B170" s="119" t="n">
        <x:v>2020</x:v>
      </x:c>
      <x:c r="C170" s="119" t="str">
        <x:v>Test</x:v>
      </x:c>
      <x:c r="D170" s="119" t="str">
        <x:v>2020 ENVIII Matematică Test 17</x:v>
      </x:c>
      <x:c r="E170" s="120" t="str">
        <x:v>Neînceput</x:v>
      </x:c>
      <x:c r="F170" s="120" t="str">
        <x:v>Normal</x:v>
      </x:c>
      <x:c r="G170" s="121" t="n">
        <x:f>IF($E170="Amânat",0,Setari!$B$6)</x:f>
        <x:v>20</x:v>
      </x:c>
      <x:c r="H170" s="121" t="n">
        <x:f>IF($E170="Amânat",0,Setari!$B$7)</x:f>
        <x:v>15</x:v>
      </x:c>
      <x:c r="I170" s="121" t="n">
        <x:f>IF($E170="Amânat",0,Setari!$B$8)</x:f>
        <x:v>8</x:v>
      </x:c>
      <x:c r="J170" s="121" t="n">
        <x:f>IF($E170="Amânat",0,Setari!$B$9)</x:f>
        <x:v>5</x:v>
      </x:c>
      <x:c r="K170" s="121" t="n">
        <x:f>SUM(G170:J170)</x:f>
        <x:v>48</x:v>
      </x:c>
      <x:c r="L170" s="122" t="n">
        <x:f>K170/60</x:f>
        <x:v>0.8</x:v>
      </x:c>
      <x:c r="M170" s="119" t="str">
        <x:v>2020/2020_ENVIII_matematica_Test_17.md</x:v>
      </x:c>
      <x:c r="N170" s="119" t="str">
        <x:v>2020/2020_ENVIII_matematica_Test_17.pdf</x:v>
      </x:c>
      <x:c r="O170" s="119" t="str">
        <x:v>2020/2020_ENVIII_matematica_Barem_17.md + .pdf</x:v>
      </x:c>
      <x:c r="P170" s="123" t="str"/>
    </x:row>
    <x:row r="171">
      <x:c r="A171" s="118" t="n">
        <x:v>165</x:v>
      </x:c>
      <x:c r="B171" s="119" t="n">
        <x:v>2020</x:v>
      </x:c>
      <x:c r="C171" s="119" t="str">
        <x:v>Test</x:v>
      </x:c>
      <x:c r="D171" s="119" t="str">
        <x:v>2020 ENVIII Matematică Test 18</x:v>
      </x:c>
      <x:c r="E171" s="120" t="str">
        <x:v>Neînceput</x:v>
      </x:c>
      <x:c r="F171" s="120" t="str">
        <x:v>Normal</x:v>
      </x:c>
      <x:c r="G171" s="121" t="n">
        <x:f>IF($E171="Amânat",0,Setari!$B$6)</x:f>
        <x:v>20</x:v>
      </x:c>
      <x:c r="H171" s="121" t="n">
        <x:f>IF($E171="Amânat",0,Setari!$B$7)</x:f>
        <x:v>15</x:v>
      </x:c>
      <x:c r="I171" s="121" t="n">
        <x:f>IF($E171="Amânat",0,Setari!$B$8)</x:f>
        <x:v>8</x:v>
      </x:c>
      <x:c r="J171" s="121" t="n">
        <x:f>IF($E171="Amânat",0,Setari!$B$9)</x:f>
        <x:v>5</x:v>
      </x:c>
      <x:c r="K171" s="121" t="n">
        <x:f>SUM(G171:J171)</x:f>
        <x:v>48</x:v>
      </x:c>
      <x:c r="L171" s="122" t="n">
        <x:f>K171/60</x:f>
        <x:v>0.8</x:v>
      </x:c>
      <x:c r="M171" s="119" t="str">
        <x:v>2020/2020_ENVIII_matematica_Test_18.md</x:v>
      </x:c>
      <x:c r="N171" s="119" t="str">
        <x:v>2020/2020_ENVIII_matematica_Test_18.pdf</x:v>
      </x:c>
      <x:c r="O171" s="119" t="str">
        <x:v>2020/2020_ENVIII_matematica_Barem_18.md + .pdf</x:v>
      </x:c>
      <x:c r="P171" s="123" t="str"/>
    </x:row>
    <x:row r="172">
      <x:c r="A172" s="118" t="n">
        <x:v>166</x:v>
      </x:c>
      <x:c r="B172" s="119" t="n">
        <x:v>2020</x:v>
      </x:c>
      <x:c r="C172" s="119" t="str">
        <x:v>Test</x:v>
      </x:c>
      <x:c r="D172" s="119" t="str">
        <x:v>2020 ENVIII Matematică Test 19</x:v>
      </x:c>
      <x:c r="E172" s="120" t="str">
        <x:v>Neînceput</x:v>
      </x:c>
      <x:c r="F172" s="120" t="str">
        <x:v>Normal</x:v>
      </x:c>
      <x:c r="G172" s="121" t="n">
        <x:f>IF($E172="Amânat",0,Setari!$B$6)</x:f>
        <x:v>20</x:v>
      </x:c>
      <x:c r="H172" s="121" t="n">
        <x:f>IF($E172="Amânat",0,Setari!$B$7)</x:f>
        <x:v>15</x:v>
      </x:c>
      <x:c r="I172" s="121" t="n">
        <x:f>IF($E172="Amânat",0,Setari!$B$8)</x:f>
        <x:v>8</x:v>
      </x:c>
      <x:c r="J172" s="121" t="n">
        <x:f>IF($E172="Amânat",0,Setari!$B$9)</x:f>
        <x:v>5</x:v>
      </x:c>
      <x:c r="K172" s="121" t="n">
        <x:f>SUM(G172:J172)</x:f>
        <x:v>48</x:v>
      </x:c>
      <x:c r="L172" s="122" t="n">
        <x:f>K172/60</x:f>
        <x:v>0.8</x:v>
      </x:c>
      <x:c r="M172" s="119" t="str">
        <x:v>2020/2020_ENVIII_matematica_Test_19.md</x:v>
      </x:c>
      <x:c r="N172" s="119" t="str">
        <x:v>2020/2020_ENVIII_matematica_Test_19.pdf</x:v>
      </x:c>
      <x:c r="O172" s="119" t="str">
        <x:v>2020/2020_ENVIII_matematica_Barem_19.md + .pdf</x:v>
      </x:c>
      <x:c r="P172" s="123" t="str"/>
    </x:row>
    <x:row r="173">
      <x:c r="A173" s="118" t="n">
        <x:v>167</x:v>
      </x:c>
      <x:c r="B173" s="119" t="n">
        <x:v>2020</x:v>
      </x:c>
      <x:c r="C173" s="119" t="str">
        <x:v>Test</x:v>
      </x:c>
      <x:c r="D173" s="119" t="str">
        <x:v>2020 ENVIII Matematică Test 20</x:v>
      </x:c>
      <x:c r="E173" s="120" t="str">
        <x:v>Neînceput</x:v>
      </x:c>
      <x:c r="F173" s="120" t="str">
        <x:v>Normal</x:v>
      </x:c>
      <x:c r="G173" s="121" t="n">
        <x:f>IF($E173="Amânat",0,Setari!$B$6)</x:f>
        <x:v>20</x:v>
      </x:c>
      <x:c r="H173" s="121" t="n">
        <x:f>IF($E173="Amânat",0,Setari!$B$7)</x:f>
        <x:v>15</x:v>
      </x:c>
      <x:c r="I173" s="121" t="n">
        <x:f>IF($E173="Amânat",0,Setari!$B$8)</x:f>
        <x:v>8</x:v>
      </x:c>
      <x:c r="J173" s="121" t="n">
        <x:f>IF($E173="Amânat",0,Setari!$B$9)</x:f>
        <x:v>5</x:v>
      </x:c>
      <x:c r="K173" s="121" t="n">
        <x:f>SUM(G173:J173)</x:f>
        <x:v>48</x:v>
      </x:c>
      <x:c r="L173" s="122" t="n">
        <x:f>K173/60</x:f>
        <x:v>0.8</x:v>
      </x:c>
      <x:c r="M173" s="119" t="str">
        <x:v>2020/2020_ENVIII_matematica_Test_20.md</x:v>
      </x:c>
      <x:c r="N173" s="119" t="str">
        <x:v>2020/2020_ENVIII_matematica_Test_20.pdf</x:v>
      </x:c>
      <x:c r="O173" s="119" t="str">
        <x:v>2020/2020_ENVIII_matematica_Barem_20.md + .pdf</x:v>
      </x:c>
      <x:c r="P173" s="123" t="str"/>
    </x:row>
    <x:row r="174">
      <x:c r="A174" s="118" t="n">
        <x:v>168</x:v>
      </x:c>
      <x:c r="B174" s="119" t="n">
        <x:v>2020</x:v>
      </x:c>
      <x:c r="C174" s="119" t="str">
        <x:v>Test</x:v>
      </x:c>
      <x:c r="D174" s="119" t="str">
        <x:v>2020 ENVIII Matematică Test 21</x:v>
      </x:c>
      <x:c r="E174" s="120" t="str">
        <x:v>Neînceput</x:v>
      </x:c>
      <x:c r="F174" s="120" t="str">
        <x:v>Normal</x:v>
      </x:c>
      <x:c r="G174" s="121" t="n">
        <x:f>IF($E174="Amânat",0,Setari!$B$6)</x:f>
        <x:v>20</x:v>
      </x:c>
      <x:c r="H174" s="121" t="n">
        <x:f>IF($E174="Amânat",0,Setari!$B$7)</x:f>
        <x:v>15</x:v>
      </x:c>
      <x:c r="I174" s="121" t="n">
        <x:f>IF($E174="Amânat",0,Setari!$B$8)</x:f>
        <x:v>8</x:v>
      </x:c>
      <x:c r="J174" s="121" t="n">
        <x:f>IF($E174="Amânat",0,Setari!$B$9)</x:f>
        <x:v>5</x:v>
      </x:c>
      <x:c r="K174" s="121" t="n">
        <x:f>SUM(G174:J174)</x:f>
        <x:v>48</x:v>
      </x:c>
      <x:c r="L174" s="122" t="n">
        <x:f>K174/60</x:f>
        <x:v>0.8</x:v>
      </x:c>
      <x:c r="M174" s="119" t="str">
        <x:v>2020/2020_ENVIII_matematica_Test_21.md</x:v>
      </x:c>
      <x:c r="N174" s="119" t="str">
        <x:v>2020/2020_ENVIII_matematica_Test_21.pdf</x:v>
      </x:c>
      <x:c r="O174" s="119" t="str">
        <x:v>2020/2020_ENVIII_matematica_Barem_21.md + .pdf</x:v>
      </x:c>
      <x:c r="P174" s="123" t="str"/>
    </x:row>
    <x:row r="175">
      <x:c r="A175" s="118" t="n">
        <x:v>169</x:v>
      </x:c>
      <x:c r="B175" s="119" t="n">
        <x:v>2020</x:v>
      </x:c>
      <x:c r="C175" s="119" t="str">
        <x:v>Test</x:v>
      </x:c>
      <x:c r="D175" s="119" t="str">
        <x:v>2020 ENVIII Matematică Test 22</x:v>
      </x:c>
      <x:c r="E175" s="120" t="str">
        <x:v>Neînceput</x:v>
      </x:c>
      <x:c r="F175" s="120" t="str">
        <x:v>Normal</x:v>
      </x:c>
      <x:c r="G175" s="121" t="n">
        <x:f>IF($E175="Amânat",0,Setari!$B$6)</x:f>
        <x:v>20</x:v>
      </x:c>
      <x:c r="H175" s="121" t="n">
        <x:f>IF($E175="Amânat",0,Setari!$B$7)</x:f>
        <x:v>15</x:v>
      </x:c>
      <x:c r="I175" s="121" t="n">
        <x:f>IF($E175="Amânat",0,Setari!$B$8)</x:f>
        <x:v>8</x:v>
      </x:c>
      <x:c r="J175" s="121" t="n">
        <x:f>IF($E175="Amânat",0,Setari!$B$9)</x:f>
        <x:v>5</x:v>
      </x:c>
      <x:c r="K175" s="121" t="n">
        <x:f>SUM(G175:J175)</x:f>
        <x:v>48</x:v>
      </x:c>
      <x:c r="L175" s="122" t="n">
        <x:f>K175/60</x:f>
        <x:v>0.8</x:v>
      </x:c>
      <x:c r="M175" s="119" t="str">
        <x:v>2020/2020_ENVIII_matematica_Test_22.md</x:v>
      </x:c>
      <x:c r="N175" s="119" t="str">
        <x:v>2020/2020_ENVIII_matematica_Test_22.pdf</x:v>
      </x:c>
      <x:c r="O175" s="119" t="str">
        <x:v>2020/2020_ENVIII_matematica_Barem_22.md + .pdf</x:v>
      </x:c>
      <x:c r="P175" s="123" t="str"/>
    </x:row>
    <x:row r="176">
      <x:c r="A176" s="118" t="n">
        <x:v>170</x:v>
      </x:c>
      <x:c r="B176" s="119" t="n">
        <x:v>2020</x:v>
      </x:c>
      <x:c r="C176" s="119" t="str">
        <x:v>Test</x:v>
      </x:c>
      <x:c r="D176" s="119" t="str">
        <x:v>2020 ENVIII Matematică Test 23</x:v>
      </x:c>
      <x:c r="E176" s="120" t="str">
        <x:v>Neînceput</x:v>
      </x:c>
      <x:c r="F176" s="120" t="str">
        <x:v>Normal</x:v>
      </x:c>
      <x:c r="G176" s="121" t="n">
        <x:f>IF($E176="Amânat",0,Setari!$B$6)</x:f>
        <x:v>20</x:v>
      </x:c>
      <x:c r="H176" s="121" t="n">
        <x:f>IF($E176="Amânat",0,Setari!$B$7)</x:f>
        <x:v>15</x:v>
      </x:c>
      <x:c r="I176" s="121" t="n">
        <x:f>IF($E176="Amânat",0,Setari!$B$8)</x:f>
        <x:v>8</x:v>
      </x:c>
      <x:c r="J176" s="121" t="n">
        <x:f>IF($E176="Amânat",0,Setari!$B$9)</x:f>
        <x:v>5</x:v>
      </x:c>
      <x:c r="K176" s="121" t="n">
        <x:f>SUM(G176:J176)</x:f>
        <x:v>48</x:v>
      </x:c>
      <x:c r="L176" s="122" t="n">
        <x:f>K176/60</x:f>
        <x:v>0.8</x:v>
      </x:c>
      <x:c r="M176" s="119" t="str">
        <x:v>2020/2020_ENVIII_matematica_Test_23.md</x:v>
      </x:c>
      <x:c r="N176" s="119" t="str">
        <x:v>2020/2020_ENVIII_matematica_Test_23.pdf</x:v>
      </x:c>
      <x:c r="O176" s="119" t="str">
        <x:v>2020/2020_ENVIII_matematica_Barem_23.md + .pdf</x:v>
      </x:c>
      <x:c r="P176" s="123" t="str"/>
    </x:row>
    <x:row r="177">
      <x:c r="A177" s="118" t="n">
        <x:v>171</x:v>
      </x:c>
      <x:c r="B177" s="119" t="n">
        <x:v>2020</x:v>
      </x:c>
      <x:c r="C177" s="119" t="str">
        <x:v>Test</x:v>
      </x:c>
      <x:c r="D177" s="119" t="str">
        <x:v>2020 ENVIII Matematică Test 24</x:v>
      </x:c>
      <x:c r="E177" s="120" t="str">
        <x:v>Neînceput</x:v>
      </x:c>
      <x:c r="F177" s="120" t="str">
        <x:v>Normal</x:v>
      </x:c>
      <x:c r="G177" s="121" t="n">
        <x:f>IF($E177="Amânat",0,Setari!$B$6)</x:f>
        <x:v>20</x:v>
      </x:c>
      <x:c r="H177" s="121" t="n">
        <x:f>IF($E177="Amânat",0,Setari!$B$7)</x:f>
        <x:v>15</x:v>
      </x:c>
      <x:c r="I177" s="121" t="n">
        <x:f>IF($E177="Amânat",0,Setari!$B$8)</x:f>
        <x:v>8</x:v>
      </x:c>
      <x:c r="J177" s="121" t="n">
        <x:f>IF($E177="Amânat",0,Setari!$B$9)</x:f>
        <x:v>5</x:v>
      </x:c>
      <x:c r="K177" s="121" t="n">
        <x:f>SUM(G177:J177)</x:f>
        <x:v>48</x:v>
      </x:c>
      <x:c r="L177" s="122" t="n">
        <x:f>K177/60</x:f>
        <x:v>0.8</x:v>
      </x:c>
      <x:c r="M177" s="119" t="str">
        <x:v>2020/2020_ENVIII_matematica_Test_24.md</x:v>
      </x:c>
      <x:c r="N177" s="119" t="str">
        <x:v>2020/2020_ENVIII_matematica_Test_24.pdf</x:v>
      </x:c>
      <x:c r="O177" s="119" t="str">
        <x:v>2020/2020_ENVIII_matematica_Barem_24.md + .pdf</x:v>
      </x:c>
      <x:c r="P177" s="123" t="str"/>
    </x:row>
    <x:row r="178">
      <x:c r="A178" s="118" t="n">
        <x:v>172</x:v>
      </x:c>
      <x:c r="B178" s="119" t="n">
        <x:v>2020</x:v>
      </x:c>
      <x:c r="C178" s="119" t="str">
        <x:v>Test</x:v>
      </x:c>
      <x:c r="D178" s="119" t="str">
        <x:v>2020 ENVIII Matematică Test 25</x:v>
      </x:c>
      <x:c r="E178" s="120" t="str">
        <x:v>Neînceput</x:v>
      </x:c>
      <x:c r="F178" s="120" t="str">
        <x:v>Normal</x:v>
      </x:c>
      <x:c r="G178" s="121" t="n">
        <x:f>IF($E178="Amânat",0,Setari!$B$6)</x:f>
        <x:v>20</x:v>
      </x:c>
      <x:c r="H178" s="121" t="n">
        <x:f>IF($E178="Amânat",0,Setari!$B$7)</x:f>
        <x:v>15</x:v>
      </x:c>
      <x:c r="I178" s="121" t="n">
        <x:f>IF($E178="Amânat",0,Setari!$B$8)</x:f>
        <x:v>8</x:v>
      </x:c>
      <x:c r="J178" s="121" t="n">
        <x:f>IF($E178="Amânat",0,Setari!$B$9)</x:f>
        <x:v>5</x:v>
      </x:c>
      <x:c r="K178" s="121" t="n">
        <x:f>SUM(G178:J178)</x:f>
        <x:v>48</x:v>
      </x:c>
      <x:c r="L178" s="122" t="n">
        <x:f>K178/60</x:f>
        <x:v>0.8</x:v>
      </x:c>
      <x:c r="M178" s="119" t="str">
        <x:v>2020/2020_ENVIII_matematica_Test_25.md</x:v>
      </x:c>
      <x:c r="N178" s="119" t="str">
        <x:v>2020/2020_ENVIII_matematica_Test_25.pdf</x:v>
      </x:c>
      <x:c r="O178" s="119" t="str">
        <x:v>2020/2020_ENVIII_matematica_Barem_25.md + .pdf</x:v>
      </x:c>
      <x:c r="P178" s="123" t="str"/>
    </x:row>
    <x:row r="179">
      <x:c r="A179" s="118" t="n">
        <x:v>173</x:v>
      </x:c>
      <x:c r="B179" s="119" t="n">
        <x:v>2020</x:v>
      </x:c>
      <x:c r="C179" s="119" t="str">
        <x:v>Test</x:v>
      </x:c>
      <x:c r="D179" s="119" t="str">
        <x:v>2020 ENVIII Matematică Test 26</x:v>
      </x:c>
      <x:c r="E179" s="120" t="str">
        <x:v>Neînceput</x:v>
      </x:c>
      <x:c r="F179" s="120" t="str">
        <x:v>Normal</x:v>
      </x:c>
      <x:c r="G179" s="121" t="n">
        <x:f>IF($E179="Amânat",0,Setari!$B$6)</x:f>
        <x:v>20</x:v>
      </x:c>
      <x:c r="H179" s="121" t="n">
        <x:f>IF($E179="Amânat",0,Setari!$B$7)</x:f>
        <x:v>15</x:v>
      </x:c>
      <x:c r="I179" s="121" t="n">
        <x:f>IF($E179="Amânat",0,Setari!$B$8)</x:f>
        <x:v>8</x:v>
      </x:c>
      <x:c r="J179" s="121" t="n">
        <x:f>IF($E179="Amânat",0,Setari!$B$9)</x:f>
        <x:v>5</x:v>
      </x:c>
      <x:c r="K179" s="121" t="n">
        <x:f>SUM(G179:J179)</x:f>
        <x:v>48</x:v>
      </x:c>
      <x:c r="L179" s="122" t="n">
        <x:f>K179/60</x:f>
        <x:v>0.8</x:v>
      </x:c>
      <x:c r="M179" s="119" t="str">
        <x:v>2020/2020_ENVIII_matematica_Test_26.md</x:v>
      </x:c>
      <x:c r="N179" s="119" t="str">
        <x:v>2020/2020_ENVIII_matematica_Test_26.pdf</x:v>
      </x:c>
      <x:c r="O179" s="119" t="str">
        <x:v>2020/2020_ENVIII_matematica_Barem_26.md + .pdf</x:v>
      </x:c>
      <x:c r="P179" s="123" t="str"/>
    </x:row>
    <x:row r="180">
      <x:c r="A180" s="118" t="n">
        <x:v>174</x:v>
      </x:c>
      <x:c r="B180" s="119" t="n">
        <x:v>2020</x:v>
      </x:c>
      <x:c r="C180" s="119" t="str">
        <x:v>Test</x:v>
      </x:c>
      <x:c r="D180" s="119" t="str">
        <x:v>2020 ENVIII Matematică Test 27</x:v>
      </x:c>
      <x:c r="E180" s="120" t="str">
        <x:v>Neînceput</x:v>
      </x:c>
      <x:c r="F180" s="120" t="str">
        <x:v>Normal</x:v>
      </x:c>
      <x:c r="G180" s="121" t="n">
        <x:f>IF($E180="Amânat",0,Setari!$B$6)</x:f>
        <x:v>20</x:v>
      </x:c>
      <x:c r="H180" s="121" t="n">
        <x:f>IF($E180="Amânat",0,Setari!$B$7)</x:f>
        <x:v>15</x:v>
      </x:c>
      <x:c r="I180" s="121" t="n">
        <x:f>IF($E180="Amânat",0,Setari!$B$8)</x:f>
        <x:v>8</x:v>
      </x:c>
      <x:c r="J180" s="121" t="n">
        <x:f>IF($E180="Amânat",0,Setari!$B$9)</x:f>
        <x:v>5</x:v>
      </x:c>
      <x:c r="K180" s="121" t="n">
        <x:f>SUM(G180:J180)</x:f>
        <x:v>48</x:v>
      </x:c>
      <x:c r="L180" s="122" t="n">
        <x:f>K180/60</x:f>
        <x:v>0.8</x:v>
      </x:c>
      <x:c r="M180" s="119" t="str">
        <x:v>2020/2020_ENVIII_matematica_Test_27.md</x:v>
      </x:c>
      <x:c r="N180" s="119" t="str">
        <x:v>2020/2020_ENVIII_matematica_Test_27.pdf</x:v>
      </x:c>
      <x:c r="O180" s="119" t="str">
        <x:v>2020/2020_ENVIII_matematica_Barem_27.md + .pdf</x:v>
      </x:c>
      <x:c r="P180" s="123" t="str"/>
    </x:row>
    <x:row r="181">
      <x:c r="A181" s="118" t="n">
        <x:v>175</x:v>
      </x:c>
      <x:c r="B181" s="119" t="n">
        <x:v>2020</x:v>
      </x:c>
      <x:c r="C181" s="119" t="str">
        <x:v>Test</x:v>
      </x:c>
      <x:c r="D181" s="119" t="str">
        <x:v>2020 ENVIII Matematică Test 28</x:v>
      </x:c>
      <x:c r="E181" s="120" t="str">
        <x:v>Neînceput</x:v>
      </x:c>
      <x:c r="F181" s="120" t="str">
        <x:v>Normal</x:v>
      </x:c>
      <x:c r="G181" s="121" t="n">
        <x:f>IF($E181="Amânat",0,Setari!$B$6)</x:f>
        <x:v>20</x:v>
      </x:c>
      <x:c r="H181" s="121" t="n">
        <x:f>IF($E181="Amânat",0,Setari!$B$7)</x:f>
        <x:v>15</x:v>
      </x:c>
      <x:c r="I181" s="121" t="n">
        <x:f>IF($E181="Amânat",0,Setari!$B$8)</x:f>
        <x:v>8</x:v>
      </x:c>
      <x:c r="J181" s="121" t="n">
        <x:f>IF($E181="Amânat",0,Setari!$B$9)</x:f>
        <x:v>5</x:v>
      </x:c>
      <x:c r="K181" s="121" t="n">
        <x:f>SUM(G181:J181)</x:f>
        <x:v>48</x:v>
      </x:c>
      <x:c r="L181" s="122" t="n">
        <x:f>K181/60</x:f>
        <x:v>0.8</x:v>
      </x:c>
      <x:c r="M181" s="119" t="str">
        <x:v>2020/2020_ENVIII_matematica_Test_28.md</x:v>
      </x:c>
      <x:c r="N181" s="119" t="str">
        <x:v>2020/2020_ENVIII_matematica_Test_28.pdf</x:v>
      </x:c>
      <x:c r="O181" s="119" t="str">
        <x:v>2020/2020_ENVIII_matematica_Barem_28.md + .pdf</x:v>
      </x:c>
      <x:c r="P181" s="123" t="str"/>
    </x:row>
    <x:row r="182">
      <x:c r="A182" s="118" t="n">
        <x:v>176</x:v>
      </x:c>
      <x:c r="B182" s="119" t="n">
        <x:v>2020</x:v>
      </x:c>
      <x:c r="C182" s="119" t="str">
        <x:v>Test</x:v>
      </x:c>
      <x:c r="D182" s="119" t="str">
        <x:v>2020 ENVIII Matematică Test 29</x:v>
      </x:c>
      <x:c r="E182" s="120" t="str">
        <x:v>Neînceput</x:v>
      </x:c>
      <x:c r="F182" s="120" t="str">
        <x:v>Normal</x:v>
      </x:c>
      <x:c r="G182" s="121" t="n">
        <x:f>IF($E182="Amânat",0,Setari!$B$6)</x:f>
        <x:v>20</x:v>
      </x:c>
      <x:c r="H182" s="121" t="n">
        <x:f>IF($E182="Amânat",0,Setari!$B$7)</x:f>
        <x:v>15</x:v>
      </x:c>
      <x:c r="I182" s="121" t="n">
        <x:f>IF($E182="Amânat",0,Setari!$B$8)</x:f>
        <x:v>8</x:v>
      </x:c>
      <x:c r="J182" s="121" t="n">
        <x:f>IF($E182="Amânat",0,Setari!$B$9)</x:f>
        <x:v>5</x:v>
      </x:c>
      <x:c r="K182" s="121" t="n">
        <x:f>SUM(G182:J182)</x:f>
        <x:v>48</x:v>
      </x:c>
      <x:c r="L182" s="122" t="n">
        <x:f>K182/60</x:f>
        <x:v>0.8</x:v>
      </x:c>
      <x:c r="M182" s="119" t="str">
        <x:v>2020/2020_ENVIII_matematica_Test_29.md</x:v>
      </x:c>
      <x:c r="N182" s="119" t="str">
        <x:v>2020/2020_ENVIII_matematica_Test_29.pdf</x:v>
      </x:c>
      <x:c r="O182" s="119" t="str">
        <x:v>2020/2020_ENVIII_matematica_Barem_29.md + .pdf</x:v>
      </x:c>
      <x:c r="P182" s="123" t="str"/>
    </x:row>
    <x:row r="183">
      <x:c r="A183" s="118" t="n">
        <x:v>177</x:v>
      </x:c>
      <x:c r="B183" s="119" t="n">
        <x:v>2020</x:v>
      </x:c>
      <x:c r="C183" s="119" t="str">
        <x:v>Test</x:v>
      </x:c>
      <x:c r="D183" s="119" t="str">
        <x:v>2020 ENVIII Matematică Test 30</x:v>
      </x:c>
      <x:c r="E183" s="120" t="str">
        <x:v>Neînceput</x:v>
      </x:c>
      <x:c r="F183" s="120" t="str">
        <x:v>Normal</x:v>
      </x:c>
      <x:c r="G183" s="121" t="n">
        <x:f>IF($E183="Amânat",0,Setari!$B$6)</x:f>
        <x:v>20</x:v>
      </x:c>
      <x:c r="H183" s="121" t="n">
        <x:f>IF($E183="Amânat",0,Setari!$B$7)</x:f>
        <x:v>15</x:v>
      </x:c>
      <x:c r="I183" s="121" t="n">
        <x:f>IF($E183="Amânat",0,Setari!$B$8)</x:f>
        <x:v>8</x:v>
      </x:c>
      <x:c r="J183" s="121" t="n">
        <x:f>IF($E183="Amânat",0,Setari!$B$9)</x:f>
        <x:v>5</x:v>
      </x:c>
      <x:c r="K183" s="121" t="n">
        <x:f>SUM(G183:J183)</x:f>
        <x:v>48</x:v>
      </x:c>
      <x:c r="L183" s="122" t="n">
        <x:f>K183/60</x:f>
        <x:v>0.8</x:v>
      </x:c>
      <x:c r="M183" s="119" t="str">
        <x:v>2020/2020_ENVIII_matematica_Test_30.md</x:v>
      </x:c>
      <x:c r="N183" s="119" t="str">
        <x:v>2020/2020_ENVIII_matematica_Test_30.pdf</x:v>
      </x:c>
      <x:c r="O183" s="119" t="str">
        <x:v>2020/2020_ENVIII_matematica_Barem_30.md + .pdf</x:v>
      </x:c>
      <x:c r="P183" s="123" t="str"/>
    </x:row>
    <x:row r="184">
      <x:c r="A184" s="118" t="n">
        <x:v>178</x:v>
      </x:c>
      <x:c r="B184" s="119" t="n">
        <x:v>2020</x:v>
      </x:c>
      <x:c r="C184" s="119" t="str">
        <x:v>Test</x:v>
      </x:c>
      <x:c r="D184" s="119" t="str">
        <x:v>2020 ENVIII Matematică Test 31</x:v>
      </x:c>
      <x:c r="E184" s="120" t="str">
        <x:v>Neînceput</x:v>
      </x:c>
      <x:c r="F184" s="120" t="str">
        <x:v>Normal</x:v>
      </x:c>
      <x:c r="G184" s="121" t="n">
        <x:f>IF($E184="Amânat",0,Setari!$B$6)</x:f>
        <x:v>20</x:v>
      </x:c>
      <x:c r="H184" s="121" t="n">
        <x:f>IF($E184="Amânat",0,Setari!$B$7)</x:f>
        <x:v>15</x:v>
      </x:c>
      <x:c r="I184" s="121" t="n">
        <x:f>IF($E184="Amânat",0,Setari!$B$8)</x:f>
        <x:v>8</x:v>
      </x:c>
      <x:c r="J184" s="121" t="n">
        <x:f>IF($E184="Amânat",0,Setari!$B$9)</x:f>
        <x:v>5</x:v>
      </x:c>
      <x:c r="K184" s="121" t="n">
        <x:f>SUM(G184:J184)</x:f>
        <x:v>48</x:v>
      </x:c>
      <x:c r="L184" s="122" t="n">
        <x:f>K184/60</x:f>
        <x:v>0.8</x:v>
      </x:c>
      <x:c r="M184" s="119" t="str">
        <x:v>2020/2020_ENVIII_matematica_Test_31.md</x:v>
      </x:c>
      <x:c r="N184" s="119" t="str">
        <x:v>2020/2020_ENVIII_matematica_Test_31.pdf</x:v>
      </x:c>
      <x:c r="O184" s="119" t="str">
        <x:v>2020/2020_ENVIII_matematica_Barem_31.md + .pdf</x:v>
      </x:c>
      <x:c r="P184" s="123" t="str"/>
    </x:row>
    <x:row r="185">
      <x:c r="A185" s="118" t="n">
        <x:v>179</x:v>
      </x:c>
      <x:c r="B185" s="119" t="n">
        <x:v>2020</x:v>
      </x:c>
      <x:c r="C185" s="119" t="str">
        <x:v>Test</x:v>
      </x:c>
      <x:c r="D185" s="119" t="str">
        <x:v>2020 ENVIII Matematică Test 32</x:v>
      </x:c>
      <x:c r="E185" s="120" t="str">
        <x:v>Neînceput</x:v>
      </x:c>
      <x:c r="F185" s="120" t="str">
        <x:v>Normal</x:v>
      </x:c>
      <x:c r="G185" s="121" t="n">
        <x:f>IF($E185="Amânat",0,Setari!$B$6)</x:f>
        <x:v>20</x:v>
      </x:c>
      <x:c r="H185" s="121" t="n">
        <x:f>IF($E185="Amânat",0,Setari!$B$7)</x:f>
        <x:v>15</x:v>
      </x:c>
      <x:c r="I185" s="121" t="n">
        <x:f>IF($E185="Amânat",0,Setari!$B$8)</x:f>
        <x:v>8</x:v>
      </x:c>
      <x:c r="J185" s="121" t="n">
        <x:f>IF($E185="Amânat",0,Setari!$B$9)</x:f>
        <x:v>5</x:v>
      </x:c>
      <x:c r="K185" s="121" t="n">
        <x:f>SUM(G185:J185)</x:f>
        <x:v>48</x:v>
      </x:c>
      <x:c r="L185" s="122" t="n">
        <x:f>K185/60</x:f>
        <x:v>0.8</x:v>
      </x:c>
      <x:c r="M185" s="119" t="str">
        <x:v>2020/2020_ENVIII_matematica_Test_32.md</x:v>
      </x:c>
      <x:c r="N185" s="119" t="str">
        <x:v>2020/2020_ENVIII_matematica_Test_32.pdf</x:v>
      </x:c>
      <x:c r="O185" s="119" t="str">
        <x:v>2020/2020_ENVIII_matematica_Barem_32.md + .pdf</x:v>
      </x:c>
      <x:c r="P185" s="123" t="str"/>
    </x:row>
    <x:row r="186">
      <x:c r="A186" s="118" t="n">
        <x:v>180</x:v>
      </x:c>
      <x:c r="B186" s="119" t="n">
        <x:v>2020</x:v>
      </x:c>
      <x:c r="C186" s="119" t="str">
        <x:v>Test</x:v>
      </x:c>
      <x:c r="D186" s="119" t="str">
        <x:v>2020 ENVIII Matematică Test 33</x:v>
      </x:c>
      <x:c r="E186" s="120" t="str">
        <x:v>Neînceput</x:v>
      </x:c>
      <x:c r="F186" s="120" t="str">
        <x:v>Normal</x:v>
      </x:c>
      <x:c r="G186" s="121" t="n">
        <x:f>IF($E186="Amânat",0,Setari!$B$6)</x:f>
        <x:v>20</x:v>
      </x:c>
      <x:c r="H186" s="121" t="n">
        <x:f>IF($E186="Amânat",0,Setari!$B$7)</x:f>
        <x:v>15</x:v>
      </x:c>
      <x:c r="I186" s="121" t="n">
        <x:f>IF($E186="Amânat",0,Setari!$B$8)</x:f>
        <x:v>8</x:v>
      </x:c>
      <x:c r="J186" s="121" t="n">
        <x:f>IF($E186="Amânat",0,Setari!$B$9)</x:f>
        <x:v>5</x:v>
      </x:c>
      <x:c r="K186" s="121" t="n">
        <x:f>SUM(G186:J186)</x:f>
        <x:v>48</x:v>
      </x:c>
      <x:c r="L186" s="122" t="n">
        <x:f>K186/60</x:f>
        <x:v>0.8</x:v>
      </x:c>
      <x:c r="M186" s="119" t="str">
        <x:v>2020/2020_ENVIII_matematica_Test_33.md</x:v>
      </x:c>
      <x:c r="N186" s="119" t="str">
        <x:v>2020/2020_ENVIII_matematica_Test_33.pdf</x:v>
      </x:c>
      <x:c r="O186" s="119" t="str">
        <x:v>2020/2020_ENVIII_matematica_Barem_33.md + .pdf</x:v>
      </x:c>
      <x:c r="P186" s="123" t="str"/>
    </x:row>
    <x:row r="187">
      <x:c r="A187" s="118" t="n">
        <x:v>181</x:v>
      </x:c>
      <x:c r="B187" s="119" t="n">
        <x:v>2020</x:v>
      </x:c>
      <x:c r="C187" s="119" t="str">
        <x:v>Test</x:v>
      </x:c>
      <x:c r="D187" s="119" t="str">
        <x:v>2020 ENVIII Matematică Test 34</x:v>
      </x:c>
      <x:c r="E187" s="120" t="str">
        <x:v>Neînceput</x:v>
      </x:c>
      <x:c r="F187" s="120" t="str">
        <x:v>Normal</x:v>
      </x:c>
      <x:c r="G187" s="121" t="n">
        <x:f>IF($E187="Amânat",0,Setari!$B$6)</x:f>
        <x:v>20</x:v>
      </x:c>
      <x:c r="H187" s="121" t="n">
        <x:f>IF($E187="Amânat",0,Setari!$B$7)</x:f>
        <x:v>15</x:v>
      </x:c>
      <x:c r="I187" s="121" t="n">
        <x:f>IF($E187="Amânat",0,Setari!$B$8)</x:f>
        <x:v>8</x:v>
      </x:c>
      <x:c r="J187" s="121" t="n">
        <x:f>IF($E187="Amânat",0,Setari!$B$9)</x:f>
        <x:v>5</x:v>
      </x:c>
      <x:c r="K187" s="121" t="n">
        <x:f>SUM(G187:J187)</x:f>
        <x:v>48</x:v>
      </x:c>
      <x:c r="L187" s="122" t="n">
        <x:f>K187/60</x:f>
        <x:v>0.8</x:v>
      </x:c>
      <x:c r="M187" s="119" t="str">
        <x:v>2020/2020_ENVIII_matematica_Test_34.md</x:v>
      </x:c>
      <x:c r="N187" s="119" t="str">
        <x:v>2020/2020_ENVIII_matematica_Test_34.pdf</x:v>
      </x:c>
      <x:c r="O187" s="119" t="str">
        <x:v>2020/2020_ENVIII_matematica_Barem_34.md + .pdf</x:v>
      </x:c>
      <x:c r="P187" s="123" t="str"/>
    </x:row>
    <x:row r="188">
      <x:c r="A188" s="118" t="n">
        <x:v>182</x:v>
      </x:c>
      <x:c r="B188" s="119" t="n">
        <x:v>2020</x:v>
      </x:c>
      <x:c r="C188" s="119" t="str">
        <x:v>Test</x:v>
      </x:c>
      <x:c r="D188" s="119" t="str">
        <x:v>2020 ENVIII Matematică Test 35</x:v>
      </x:c>
      <x:c r="E188" s="120" t="str">
        <x:v>Neînceput</x:v>
      </x:c>
      <x:c r="F188" s="120" t="str">
        <x:v>Normal</x:v>
      </x:c>
      <x:c r="G188" s="121" t="n">
        <x:f>IF($E188="Amânat",0,Setari!$B$6)</x:f>
        <x:v>20</x:v>
      </x:c>
      <x:c r="H188" s="121" t="n">
        <x:f>IF($E188="Amânat",0,Setari!$B$7)</x:f>
        <x:v>15</x:v>
      </x:c>
      <x:c r="I188" s="121" t="n">
        <x:f>IF($E188="Amânat",0,Setari!$B$8)</x:f>
        <x:v>8</x:v>
      </x:c>
      <x:c r="J188" s="121" t="n">
        <x:f>IF($E188="Amânat",0,Setari!$B$9)</x:f>
        <x:v>5</x:v>
      </x:c>
      <x:c r="K188" s="121" t="n">
        <x:f>SUM(G188:J188)</x:f>
        <x:v>48</x:v>
      </x:c>
      <x:c r="L188" s="122" t="n">
        <x:f>K188/60</x:f>
        <x:v>0.8</x:v>
      </x:c>
      <x:c r="M188" s="119" t="str">
        <x:v>2020/2020_ENVIII_matematica_Test_35.md</x:v>
      </x:c>
      <x:c r="N188" s="119" t="str">
        <x:v>2020/2020_ENVIII_matematica_Test_35.pdf</x:v>
      </x:c>
      <x:c r="O188" s="119" t="str">
        <x:v>2020/2020_ENVIII_matematica_Barem_35.md + .pdf</x:v>
      </x:c>
      <x:c r="P188" s="123" t="str"/>
    </x:row>
    <x:row r="189">
      <x:c r="A189" s="118" t="n">
        <x:v>183</x:v>
      </x:c>
      <x:c r="B189" s="119" t="n">
        <x:v>2020</x:v>
      </x:c>
      <x:c r="C189" s="119" t="str">
        <x:v>Test</x:v>
      </x:c>
      <x:c r="D189" s="119" t="str">
        <x:v>2020 ENVIII Matematică Test 36</x:v>
      </x:c>
      <x:c r="E189" s="120" t="str">
        <x:v>Neînceput</x:v>
      </x:c>
      <x:c r="F189" s="120" t="str">
        <x:v>Normal</x:v>
      </x:c>
      <x:c r="G189" s="121" t="n">
        <x:f>IF($E189="Amânat",0,Setari!$B$6)</x:f>
        <x:v>20</x:v>
      </x:c>
      <x:c r="H189" s="121" t="n">
        <x:f>IF($E189="Amânat",0,Setari!$B$7)</x:f>
        <x:v>15</x:v>
      </x:c>
      <x:c r="I189" s="121" t="n">
        <x:f>IF($E189="Amânat",0,Setari!$B$8)</x:f>
        <x:v>8</x:v>
      </x:c>
      <x:c r="J189" s="121" t="n">
        <x:f>IF($E189="Amânat",0,Setari!$B$9)</x:f>
        <x:v>5</x:v>
      </x:c>
      <x:c r="K189" s="121" t="n">
        <x:f>SUM(G189:J189)</x:f>
        <x:v>48</x:v>
      </x:c>
      <x:c r="L189" s="122" t="n">
        <x:f>K189/60</x:f>
        <x:v>0.8</x:v>
      </x:c>
      <x:c r="M189" s="119" t="str">
        <x:v>2020/2020_ENVIII_matematica_Test_36.md</x:v>
      </x:c>
      <x:c r="N189" s="119" t="str">
        <x:v>2020/2020_ENVIII_matematica_Test_36.pdf</x:v>
      </x:c>
      <x:c r="O189" s="119" t="str">
        <x:v>2020/2020_ENVIII_matematica_Barem_36.md + .pdf</x:v>
      </x:c>
      <x:c r="P189" s="123" t="str"/>
    </x:row>
    <x:row r="190">
      <x:c r="A190" s="118" t="n">
        <x:v>184</x:v>
      </x:c>
      <x:c r="B190" s="119" t="n">
        <x:v>2020</x:v>
      </x:c>
      <x:c r="C190" s="119" t="str">
        <x:v>Test</x:v>
      </x:c>
      <x:c r="D190" s="119" t="str">
        <x:v>2020 ENVIII Matematică Test 37</x:v>
      </x:c>
      <x:c r="E190" s="120" t="str">
        <x:v>Neînceput</x:v>
      </x:c>
      <x:c r="F190" s="120" t="str">
        <x:v>Normal</x:v>
      </x:c>
      <x:c r="G190" s="121" t="n">
        <x:f>IF($E190="Amânat",0,Setari!$B$6)</x:f>
        <x:v>20</x:v>
      </x:c>
      <x:c r="H190" s="121" t="n">
        <x:f>IF($E190="Amânat",0,Setari!$B$7)</x:f>
        <x:v>15</x:v>
      </x:c>
      <x:c r="I190" s="121" t="n">
        <x:f>IF($E190="Amânat",0,Setari!$B$8)</x:f>
        <x:v>8</x:v>
      </x:c>
      <x:c r="J190" s="121" t="n">
        <x:f>IF($E190="Amânat",0,Setari!$B$9)</x:f>
        <x:v>5</x:v>
      </x:c>
      <x:c r="K190" s="121" t="n">
        <x:f>SUM(G190:J190)</x:f>
        <x:v>48</x:v>
      </x:c>
      <x:c r="L190" s="122" t="n">
        <x:f>K190/60</x:f>
        <x:v>0.8</x:v>
      </x:c>
      <x:c r="M190" s="119" t="str">
        <x:v>2020/2020_ENVIII_matematica_Test_37.md</x:v>
      </x:c>
      <x:c r="N190" s="119" t="str">
        <x:v>2020/2020_ENVIII_matematica_Test_37.pdf</x:v>
      </x:c>
      <x:c r="O190" s="119" t="str">
        <x:v>2020/2020_ENVIII_matematica_Barem_37.md + .pdf</x:v>
      </x:c>
      <x:c r="P190" s="123" t="str"/>
    </x:row>
    <x:row r="191">
      <x:c r="A191" s="118" t="n">
        <x:v>185</x:v>
      </x:c>
      <x:c r="B191" s="119" t="n">
        <x:v>2020</x:v>
      </x:c>
      <x:c r="C191" s="119" t="str">
        <x:v>Test</x:v>
      </x:c>
      <x:c r="D191" s="119" t="str">
        <x:v>2020 ENVIII Matematică Test 38</x:v>
      </x:c>
      <x:c r="E191" s="120" t="str">
        <x:v>Neînceput</x:v>
      </x:c>
      <x:c r="F191" s="120" t="str">
        <x:v>Normal</x:v>
      </x:c>
      <x:c r="G191" s="121" t="n">
        <x:f>IF($E191="Amânat",0,Setari!$B$6)</x:f>
        <x:v>20</x:v>
      </x:c>
      <x:c r="H191" s="121" t="n">
        <x:f>IF($E191="Amânat",0,Setari!$B$7)</x:f>
        <x:v>15</x:v>
      </x:c>
      <x:c r="I191" s="121" t="n">
        <x:f>IF($E191="Amânat",0,Setari!$B$8)</x:f>
        <x:v>8</x:v>
      </x:c>
      <x:c r="J191" s="121" t="n">
        <x:f>IF($E191="Amânat",0,Setari!$B$9)</x:f>
        <x:v>5</x:v>
      </x:c>
      <x:c r="K191" s="121" t="n">
        <x:f>SUM(G191:J191)</x:f>
        <x:v>48</x:v>
      </x:c>
      <x:c r="L191" s="122" t="n">
        <x:f>K191/60</x:f>
        <x:v>0.8</x:v>
      </x:c>
      <x:c r="M191" s="119" t="str">
        <x:v>2020/2020_ENVIII_matematica_Test_38.md</x:v>
      </x:c>
      <x:c r="N191" s="119" t="str">
        <x:v>2020/2020_ENVIII_matematica_Test_38.pdf</x:v>
      </x:c>
      <x:c r="O191" s="119" t="str">
        <x:v>2020/2020_ENVIII_matematica_Barem_38.md + .pdf</x:v>
      </x:c>
      <x:c r="P191" s="123" t="str"/>
    </x:row>
    <x:row r="192">
      <x:c r="A192" s="118" t="n">
        <x:v>186</x:v>
      </x:c>
      <x:c r="B192" s="119" t="n">
        <x:v>2020</x:v>
      </x:c>
      <x:c r="C192" s="119" t="str">
        <x:v>Test</x:v>
      </x:c>
      <x:c r="D192" s="119" t="str">
        <x:v>2020 ENVIII Matematică Test 39</x:v>
      </x:c>
      <x:c r="E192" s="120" t="str">
        <x:v>Neînceput</x:v>
      </x:c>
      <x:c r="F192" s="120" t="str">
        <x:v>Normal</x:v>
      </x:c>
      <x:c r="G192" s="121" t="n">
        <x:f>IF($E192="Amânat",0,Setari!$B$6)</x:f>
        <x:v>20</x:v>
      </x:c>
      <x:c r="H192" s="121" t="n">
        <x:f>IF($E192="Amânat",0,Setari!$B$7)</x:f>
        <x:v>15</x:v>
      </x:c>
      <x:c r="I192" s="121" t="n">
        <x:f>IF($E192="Amânat",0,Setari!$B$8)</x:f>
        <x:v>8</x:v>
      </x:c>
      <x:c r="J192" s="121" t="n">
        <x:f>IF($E192="Amânat",0,Setari!$B$9)</x:f>
        <x:v>5</x:v>
      </x:c>
      <x:c r="K192" s="121" t="n">
        <x:f>SUM(G192:J192)</x:f>
        <x:v>48</x:v>
      </x:c>
      <x:c r="L192" s="122" t="n">
        <x:f>K192/60</x:f>
        <x:v>0.8</x:v>
      </x:c>
      <x:c r="M192" s="119" t="str">
        <x:v>2020/2020_ENVIII_matematica_Test_39.md</x:v>
      </x:c>
      <x:c r="N192" s="119" t="str">
        <x:v>2020/2020_ENVIII_matematica_Test_39.pdf</x:v>
      </x:c>
      <x:c r="O192" s="119" t="str">
        <x:v>2020/2020_ENVIII_matematica_Barem_39.md + .pdf</x:v>
      </x:c>
      <x:c r="P192" s="123" t="str"/>
    </x:row>
    <x:row r="193">
      <x:c r="A193" s="118" t="n">
        <x:v>187</x:v>
      </x:c>
      <x:c r="B193" s="119" t="n">
        <x:v>2020</x:v>
      </x:c>
      <x:c r="C193" s="119" t="str">
        <x:v>Test</x:v>
      </x:c>
      <x:c r="D193" s="119" t="str">
        <x:v>2020 ENVIII Matematică Test 40</x:v>
      </x:c>
      <x:c r="E193" s="120" t="str">
        <x:v>Neînceput</x:v>
      </x:c>
      <x:c r="F193" s="120" t="str">
        <x:v>Normal</x:v>
      </x:c>
      <x:c r="G193" s="121" t="n">
        <x:f>IF($E193="Amânat",0,Setari!$B$6)</x:f>
        <x:v>20</x:v>
      </x:c>
      <x:c r="H193" s="121" t="n">
        <x:f>IF($E193="Amânat",0,Setari!$B$7)</x:f>
        <x:v>15</x:v>
      </x:c>
      <x:c r="I193" s="121" t="n">
        <x:f>IF($E193="Amânat",0,Setari!$B$8)</x:f>
        <x:v>8</x:v>
      </x:c>
      <x:c r="J193" s="121" t="n">
        <x:f>IF($E193="Amânat",0,Setari!$B$9)</x:f>
        <x:v>5</x:v>
      </x:c>
      <x:c r="K193" s="121" t="n">
        <x:f>SUM(G193:J193)</x:f>
        <x:v>48</x:v>
      </x:c>
      <x:c r="L193" s="122" t="n">
        <x:f>K193/60</x:f>
        <x:v>0.8</x:v>
      </x:c>
      <x:c r="M193" s="119" t="str">
        <x:v>2020/2020_ENVIII_matematica_Test_40.md</x:v>
      </x:c>
      <x:c r="N193" s="119" t="str">
        <x:v>2020/2020_ENVIII_matematica_Test_40.pdf</x:v>
      </x:c>
      <x:c r="O193" s="119" t="str">
        <x:v>2020/2020_ENVIII_matematica_Barem_40.md + .pdf</x:v>
      </x:c>
      <x:c r="P193" s="123" t="str"/>
    </x:row>
    <x:row r="194">
      <x:c r="A194" s="118" t="n">
        <x:v>188</x:v>
      </x:c>
      <x:c r="B194" s="119" t="n">
        <x:v>2021</x:v>
      </x:c>
      <x:c r="C194" s="119" t="str">
        <x:v>Examen</x:v>
      </x:c>
      <x:c r="D194" s="119" t="str">
        <x:v>2021 EN Matematică Examen Subiect 03</x:v>
      </x:c>
      <x:c r="E194" s="120" t="str">
        <x:v>Neînceput</x:v>
      </x:c>
      <x:c r="F194" s="120" t="str">
        <x:v>Normal</x:v>
      </x:c>
      <x:c r="G194" s="121" t="n">
        <x:f>IF($E194="Amânat",0,Setari!$B$6)</x:f>
        <x:v>20</x:v>
      </x:c>
      <x:c r="H194" s="121" t="n">
        <x:f>IF($E194="Amânat",0,Setari!$B$7)</x:f>
        <x:v>15</x:v>
      </x:c>
      <x:c r="I194" s="121" t="n">
        <x:f>IF($E194="Amânat",0,Setari!$B$8)</x:f>
        <x:v>8</x:v>
      </x:c>
      <x:c r="J194" s="121" t="n">
        <x:f>IF($E194="Amânat",0,Setari!$B$9)</x:f>
        <x:v>5</x:v>
      </x:c>
      <x:c r="K194" s="121" t="n">
        <x:f>SUM(G194:J194)</x:f>
        <x:v>48</x:v>
      </x:c>
      <x:c r="L194" s="122" t="n">
        <x:f>K194/60</x:f>
        <x:v>0.8</x:v>
      </x:c>
      <x:c r="M194" s="119" t="str">
        <x:v>2021/2021_EN_Matematica_Examen_Subiect_03_LRO.md</x:v>
      </x:c>
      <x:c r="N194" s="119" t="str">
        <x:v>2021/2021_EN_Matematica_Examen_Subiect_03_LRO.pdf</x:v>
      </x:c>
      <x:c r="O194" s="119" t="str">
        <x:v>2021/2021_EN_Matematica_Examen_Barem_03_LRO.md + .pdf</x:v>
      </x:c>
      <x:c r="P194" s="123" t="str"/>
    </x:row>
    <x:row r="195">
      <x:c r="A195" s="118" t="n">
        <x:v>189</x:v>
      </x:c>
      <x:c r="B195" s="119" t="n">
        <x:v>2021</x:v>
      </x:c>
      <x:c r="C195" s="119" t="str">
        <x:v>Model</x:v>
      </x:c>
      <x:c r="D195" s="119" t="str">
        <x:v>2021 EN Matematică Model Subiect</x:v>
      </x:c>
      <x:c r="E195" s="120" t="str">
        <x:v>Neînceput</x:v>
      </x:c>
      <x:c r="F195" s="120" t="str">
        <x:v>Normal</x:v>
      </x:c>
      <x:c r="G195" s="121" t="n">
        <x:f>IF($E195="Amânat",0,Setari!$B$6)</x:f>
        <x:v>20</x:v>
      </x:c>
      <x:c r="H195" s="121" t="n">
        <x:f>IF($E195="Amânat",0,Setari!$B$7)</x:f>
        <x:v>15</x:v>
      </x:c>
      <x:c r="I195" s="121" t="n">
        <x:f>IF($E195="Amânat",0,Setari!$B$8)</x:f>
        <x:v>8</x:v>
      </x:c>
      <x:c r="J195" s="121" t="n">
        <x:f>IF($E195="Amânat",0,Setari!$B$9)</x:f>
        <x:v>5</x:v>
      </x:c>
      <x:c r="K195" s="121" t="n">
        <x:f>SUM(G195:J195)</x:f>
        <x:v>48</x:v>
      </x:c>
      <x:c r="L195" s="122" t="n">
        <x:f>K195/60</x:f>
        <x:v>0.8</x:v>
      </x:c>
      <x:c r="M195" s="119" t="str">
        <x:v>2021/2021_EN_Matematica_Model_Subiect_LRO.md</x:v>
      </x:c>
      <x:c r="N195" s="119" t="str">
        <x:v>2021/2021_EN_Matematica_Model_Subiect_LRO.pdf</x:v>
      </x:c>
      <x:c r="O195" s="119" t="str">
        <x:v>2021/2021_EN_Matematica_Model_Barem_LRO.md + .pdf</x:v>
      </x:c>
      <x:c r="P195" s="123" t="str"/>
    </x:row>
    <x:row r="196">
      <x:c r="A196" s="118" t="n">
        <x:v>190</x:v>
      </x:c>
      <x:c r="B196" s="119" t="n">
        <x:v>2021</x:v>
      </x:c>
      <x:c r="C196" s="119" t="str">
        <x:v>Model 2</x:v>
      </x:c>
      <x:c r="D196" s="119" t="str">
        <x:v>2021 EN Matematică Model2 Subiect</x:v>
      </x:c>
      <x:c r="E196" s="120" t="str">
        <x:v>Neînceput</x:v>
      </x:c>
      <x:c r="F196" s="120" t="str">
        <x:v>Normal</x:v>
      </x:c>
      <x:c r="G196" s="121" t="n">
        <x:f>IF($E196="Amânat",0,Setari!$B$6)</x:f>
        <x:v>20</x:v>
      </x:c>
      <x:c r="H196" s="121" t="n">
        <x:f>IF($E196="Amânat",0,Setari!$B$7)</x:f>
        <x:v>15</x:v>
      </x:c>
      <x:c r="I196" s="121" t="n">
        <x:f>IF($E196="Amânat",0,Setari!$B$8)</x:f>
        <x:v>8</x:v>
      </x:c>
      <x:c r="J196" s="121" t="n">
        <x:f>IF($E196="Amânat",0,Setari!$B$9)</x:f>
        <x:v>5</x:v>
      </x:c>
      <x:c r="K196" s="121" t="n">
        <x:f>SUM(G196:J196)</x:f>
        <x:v>48</x:v>
      </x:c>
      <x:c r="L196" s="122" t="n">
        <x:f>K196/60</x:f>
        <x:v>0.8</x:v>
      </x:c>
      <x:c r="M196" s="119" t="str">
        <x:v>2021/2021_EN_Matematica_Model2_Subiect_LRO.md</x:v>
      </x:c>
      <x:c r="N196" s="119" t="str">
        <x:v>2021/2021_EN_Matematica_Model2_Subiect_LRO.pdf</x:v>
      </x:c>
      <x:c r="O196" s="119" t="str">
        <x:v>2021/2021_EN_Matematica_Model2_Barem_LRO.md + .pdf</x:v>
      </x:c>
      <x:c r="P196" s="123" t="str"/>
    </x:row>
    <x:row r="197">
      <x:c r="A197" s="118" t="n">
        <x:v>191</x:v>
      </x:c>
      <x:c r="B197" s="119" t="n">
        <x:v>2021</x:v>
      </x:c>
      <x:c r="C197" s="119" t="str">
        <x:v>Rezervă</x:v>
      </x:c>
      <x:c r="D197" s="119" t="str">
        <x:v>2021 EN Matematică Rezerva Examen Subiect 02</x:v>
      </x:c>
      <x:c r="E197" s="120" t="str">
        <x:v>Neînceput</x:v>
      </x:c>
      <x:c r="F197" s="120" t="str">
        <x:v>Normal</x:v>
      </x:c>
      <x:c r="G197" s="121" t="n">
        <x:f>IF($E197="Amânat",0,Setari!$B$6)</x:f>
        <x:v>20</x:v>
      </x:c>
      <x:c r="H197" s="121" t="n">
        <x:f>IF($E197="Amânat",0,Setari!$B$7)</x:f>
        <x:v>15</x:v>
      </x:c>
      <x:c r="I197" s="121" t="n">
        <x:f>IF($E197="Amânat",0,Setari!$B$8)</x:f>
        <x:v>8</x:v>
      </x:c>
      <x:c r="J197" s="121" t="n">
        <x:f>IF($E197="Amânat",0,Setari!$B$9)</x:f>
        <x:v>5</x:v>
      </x:c>
      <x:c r="K197" s="121" t="n">
        <x:f>SUM(G197:J197)</x:f>
        <x:v>48</x:v>
      </x:c>
      <x:c r="L197" s="122" t="n">
        <x:f>K197/60</x:f>
        <x:v>0.8</x:v>
      </x:c>
      <x:c r="M197" s="119" t="str">
        <x:v>2021/2021_EN_Matematica_Rezerva_Examen_Subiect_02_LRO.md</x:v>
      </x:c>
      <x:c r="N197" s="119" t="str">
        <x:v>2021/2021_EN_Matematica_Rezerva_Examen_Subiect_02_LRO.pdf</x:v>
      </x:c>
      <x:c r="O197" s="119" t="str">
        <x:v>2021/2021_EN_Matematica_Rezerva_Examen_Barem_02_LRO.md + .pdf</x:v>
      </x:c>
      <x:c r="P197" s="123" t="str"/>
    </x:row>
    <x:row r="198">
      <x:c r="A198" s="118" t="n">
        <x:v>192</x:v>
      </x:c>
      <x:c r="B198" s="119" t="n">
        <x:v>2021</x:v>
      </x:c>
      <x:c r="C198" s="119" t="str">
        <x:v>Sesiunea specială</x:v>
      </x:c>
      <x:c r="D198" s="119" t="str">
        <x:v>2021 EN Matematică Sesiunea Speciala Subiect 04</x:v>
      </x:c>
      <x:c r="E198" s="120" t="str">
        <x:v>Neînceput</x:v>
      </x:c>
      <x:c r="F198" s="120" t="str">
        <x:v>Normal</x:v>
      </x:c>
      <x:c r="G198" s="121" t="n">
        <x:f>IF($E198="Amânat",0,Setari!$B$6)</x:f>
        <x:v>20</x:v>
      </x:c>
      <x:c r="H198" s="121" t="n">
        <x:f>IF($E198="Amânat",0,Setari!$B$7)</x:f>
        <x:v>15</x:v>
      </x:c>
      <x:c r="I198" s="121" t="n">
        <x:f>IF($E198="Amânat",0,Setari!$B$8)</x:f>
        <x:v>8</x:v>
      </x:c>
      <x:c r="J198" s="121" t="n">
        <x:f>IF($E198="Amânat",0,Setari!$B$9)</x:f>
        <x:v>5</x:v>
      </x:c>
      <x:c r="K198" s="121" t="n">
        <x:f>SUM(G198:J198)</x:f>
        <x:v>48</x:v>
      </x:c>
      <x:c r="L198" s="122" t="n">
        <x:f>K198/60</x:f>
        <x:v>0.8</x:v>
      </x:c>
      <x:c r="M198" s="119" t="str">
        <x:v>2021/2021_EN_Matematica_Sesiunea_Speciala_Subiect_04_LRO.md</x:v>
      </x:c>
      <x:c r="N198" s="119" t="str">
        <x:v>2021/2021_EN_Matematica_Sesiunea_Speciala_Subiect_04_LRO.pdf</x:v>
      </x:c>
      <x:c r="O198" s="119" t="str">
        <x:v>2021/2021_EN_Matematica_Sesiunea_Speciala_Barem_04_LRO.md + .pdf</x:v>
      </x:c>
      <x:c r="P198" s="123" t="str"/>
    </x:row>
    <x:row r="199">
      <x:c r="A199" s="118" t="n">
        <x:v>193</x:v>
      </x:c>
      <x:c r="B199" s="119" t="n">
        <x:v>2021</x:v>
      </x:c>
      <x:c r="C199" s="119" t="str">
        <x:v>Simulare</x:v>
      </x:c>
      <x:c r="D199" s="119" t="str">
        <x:v>2021 EN Matematică Simulare Subiect</x:v>
      </x:c>
      <x:c r="E199" s="120" t="str">
        <x:v>Neînceput</x:v>
      </x:c>
      <x:c r="F199" s="120" t="str">
        <x:v>Normal</x:v>
      </x:c>
      <x:c r="G199" s="121" t="n">
        <x:f>IF($E199="Amânat",0,Setari!$B$6)</x:f>
        <x:v>20</x:v>
      </x:c>
      <x:c r="H199" s="121" t="n">
        <x:f>IF($E199="Amânat",0,Setari!$B$7)</x:f>
        <x:v>15</x:v>
      </x:c>
      <x:c r="I199" s="121" t="n">
        <x:f>IF($E199="Amânat",0,Setari!$B$8)</x:f>
        <x:v>8</x:v>
      </x:c>
      <x:c r="J199" s="121" t="n">
        <x:f>IF($E199="Amânat",0,Setari!$B$9)</x:f>
        <x:v>5</x:v>
      </x:c>
      <x:c r="K199" s="121" t="n">
        <x:f>SUM(G199:J199)</x:f>
        <x:v>48</x:v>
      </x:c>
      <x:c r="L199" s="122" t="n">
        <x:f>K199/60</x:f>
        <x:v>0.8</x:v>
      </x:c>
      <x:c r="M199" s="119" t="str">
        <x:v>2021/2021_EN_Matematica_Simulare_Subiect_LRO.md</x:v>
      </x:c>
      <x:c r="N199" s="119" t="str">
        <x:v>2021/2021_EN_Matematica_Simulare_Subiect_LRO.pdf</x:v>
      </x:c>
      <x:c r="O199" s="119" t="str">
        <x:v>2021/2021_EN_Matematica_Simulare_Barem_LRO.md + .pdf</x:v>
      </x:c>
      <x:c r="P199" s="123" t="str"/>
    </x:row>
    <x:row r="200">
      <x:c r="A200" s="118" t="n">
        <x:v>194</x:v>
      </x:c>
      <x:c r="B200" s="119" t="n">
        <x:v>2021</x:v>
      </x:c>
      <x:c r="C200" s="119" t="str">
        <x:v>Test</x:v>
      </x:c>
      <x:c r="D200" s="119" t="str">
        <x:v>2021 ENVIII Matematică Test 01</x:v>
      </x:c>
      <x:c r="E200" s="120" t="str">
        <x:v>Neînceput</x:v>
      </x:c>
      <x:c r="F200" s="120" t="str">
        <x:v>Normal</x:v>
      </x:c>
      <x:c r="G200" s="121" t="n">
        <x:f>IF($E200="Amânat",0,Setari!$B$6)</x:f>
        <x:v>20</x:v>
      </x:c>
      <x:c r="H200" s="121" t="n">
        <x:f>IF($E200="Amânat",0,Setari!$B$7)</x:f>
        <x:v>15</x:v>
      </x:c>
      <x:c r="I200" s="121" t="n">
        <x:f>IF($E200="Amânat",0,Setari!$B$8)</x:f>
        <x:v>8</x:v>
      </x:c>
      <x:c r="J200" s="121" t="n">
        <x:f>IF($E200="Amânat",0,Setari!$B$9)</x:f>
        <x:v>5</x:v>
      </x:c>
      <x:c r="K200" s="121" t="n">
        <x:f>SUM(G200:J200)</x:f>
        <x:v>48</x:v>
      </x:c>
      <x:c r="L200" s="122" t="n">
        <x:f>K200/60</x:f>
        <x:v>0.8</x:v>
      </x:c>
      <x:c r="M200" s="119" t="str">
        <x:v>2021/2021_ENVIII_matematica_Test_01.md</x:v>
      </x:c>
      <x:c r="N200" s="119" t="str">
        <x:v>2021/2021_ENVIII_matematica_Test_01.pdf</x:v>
      </x:c>
      <x:c r="O200" s="119" t="str">
        <x:v>2021/2021_ENVIII_matematica_Barem_01.md + .pdf</x:v>
      </x:c>
      <x:c r="P200" s="123" t="str"/>
    </x:row>
    <x:row r="201">
      <x:c r="A201" s="118" t="n">
        <x:v>195</x:v>
      </x:c>
      <x:c r="B201" s="119" t="n">
        <x:v>2021</x:v>
      </x:c>
      <x:c r="C201" s="119" t="str">
        <x:v>Test</x:v>
      </x:c>
      <x:c r="D201" s="119" t="str">
        <x:v>2021 ENVIII Matematică Test 02</x:v>
      </x:c>
      <x:c r="E201" s="120" t="str">
        <x:v>Neînceput</x:v>
      </x:c>
      <x:c r="F201" s="120" t="str">
        <x:v>Normal</x:v>
      </x:c>
      <x:c r="G201" s="121" t="n">
        <x:f>IF($E201="Amânat",0,Setari!$B$6)</x:f>
        <x:v>20</x:v>
      </x:c>
      <x:c r="H201" s="121" t="n">
        <x:f>IF($E201="Amânat",0,Setari!$B$7)</x:f>
        <x:v>15</x:v>
      </x:c>
      <x:c r="I201" s="121" t="n">
        <x:f>IF($E201="Amânat",0,Setari!$B$8)</x:f>
        <x:v>8</x:v>
      </x:c>
      <x:c r="J201" s="121" t="n">
        <x:f>IF($E201="Amânat",0,Setari!$B$9)</x:f>
        <x:v>5</x:v>
      </x:c>
      <x:c r="K201" s="121" t="n">
        <x:f>SUM(G201:J201)</x:f>
        <x:v>48</x:v>
      </x:c>
      <x:c r="L201" s="122" t="n">
        <x:f>K201/60</x:f>
        <x:v>0.8</x:v>
      </x:c>
      <x:c r="M201" s="119" t="str">
        <x:v>2021/2021_ENVIII_matematica_Test_02.md</x:v>
      </x:c>
      <x:c r="N201" s="119" t="str">
        <x:v>2021/2021_ENVIII_matematica_Test_02.pdf</x:v>
      </x:c>
      <x:c r="O201" s="119" t="str">
        <x:v>2021/2021_ENVIII_matematica_Barem_02.md + .pdf</x:v>
      </x:c>
      <x:c r="P201" s="123" t="str"/>
    </x:row>
    <x:row r="202">
      <x:c r="A202" s="118" t="n">
        <x:v>196</x:v>
      </x:c>
      <x:c r="B202" s="119" t="n">
        <x:v>2021</x:v>
      </x:c>
      <x:c r="C202" s="119" t="str">
        <x:v>Test</x:v>
      </x:c>
      <x:c r="D202" s="119" t="str">
        <x:v>2021 ENVIII Matematică Test 03</x:v>
      </x:c>
      <x:c r="E202" s="120" t="str">
        <x:v>Neînceput</x:v>
      </x:c>
      <x:c r="F202" s="120" t="str">
        <x:v>Normal</x:v>
      </x:c>
      <x:c r="G202" s="121" t="n">
        <x:f>IF($E202="Amânat",0,Setari!$B$6)</x:f>
        <x:v>20</x:v>
      </x:c>
      <x:c r="H202" s="121" t="n">
        <x:f>IF($E202="Amânat",0,Setari!$B$7)</x:f>
        <x:v>15</x:v>
      </x:c>
      <x:c r="I202" s="121" t="n">
        <x:f>IF($E202="Amânat",0,Setari!$B$8)</x:f>
        <x:v>8</x:v>
      </x:c>
      <x:c r="J202" s="121" t="n">
        <x:f>IF($E202="Amânat",0,Setari!$B$9)</x:f>
        <x:v>5</x:v>
      </x:c>
      <x:c r="K202" s="121" t="n">
        <x:f>SUM(G202:J202)</x:f>
        <x:v>48</x:v>
      </x:c>
      <x:c r="L202" s="122" t="n">
        <x:f>K202/60</x:f>
        <x:v>0.8</x:v>
      </x:c>
      <x:c r="M202" s="119" t="str">
        <x:v>2021/2021_ENVIII_matematica_Test_03.md</x:v>
      </x:c>
      <x:c r="N202" s="119" t="str">
        <x:v>2021/2021_ENVIII_matematica_Test_03.pdf</x:v>
      </x:c>
      <x:c r="O202" s="119" t="str">
        <x:v>2021/2021_ENVIII_matematica_Barem_03.md + .pdf</x:v>
      </x:c>
      <x:c r="P202" s="123" t="str"/>
    </x:row>
    <x:row r="203">
      <x:c r="A203" s="118" t="n">
        <x:v>197</x:v>
      </x:c>
      <x:c r="B203" s="119" t="n">
        <x:v>2021</x:v>
      </x:c>
      <x:c r="C203" s="119" t="str">
        <x:v>Test</x:v>
      </x:c>
      <x:c r="D203" s="119" t="str">
        <x:v>2021 ENVIII Matematică Test 04</x:v>
      </x:c>
      <x:c r="E203" s="120" t="str">
        <x:v>Neînceput</x:v>
      </x:c>
      <x:c r="F203" s="120" t="str">
        <x:v>Normal</x:v>
      </x:c>
      <x:c r="G203" s="121" t="n">
        <x:f>IF($E203="Amânat",0,Setari!$B$6)</x:f>
        <x:v>20</x:v>
      </x:c>
      <x:c r="H203" s="121" t="n">
        <x:f>IF($E203="Amânat",0,Setari!$B$7)</x:f>
        <x:v>15</x:v>
      </x:c>
      <x:c r="I203" s="121" t="n">
        <x:f>IF($E203="Amânat",0,Setari!$B$8)</x:f>
        <x:v>8</x:v>
      </x:c>
      <x:c r="J203" s="121" t="n">
        <x:f>IF($E203="Amânat",0,Setari!$B$9)</x:f>
        <x:v>5</x:v>
      </x:c>
      <x:c r="K203" s="121" t="n">
        <x:f>SUM(G203:J203)</x:f>
        <x:v>48</x:v>
      </x:c>
      <x:c r="L203" s="122" t="n">
        <x:f>K203/60</x:f>
        <x:v>0.8</x:v>
      </x:c>
      <x:c r="M203" s="119" t="str">
        <x:v>2021/2021_ENVIII_matematica_Test_04.md</x:v>
      </x:c>
      <x:c r="N203" s="119" t="str">
        <x:v>2021/2021_ENVIII_matematica_Test_04.pdf</x:v>
      </x:c>
      <x:c r="O203" s="119" t="str">
        <x:v>2021/2021_ENVIII_matematica_Barem_04.md + .pdf</x:v>
      </x:c>
      <x:c r="P203" s="123" t="str"/>
    </x:row>
    <x:row r="204">
      <x:c r="A204" s="118" t="n">
        <x:v>198</x:v>
      </x:c>
      <x:c r="B204" s="119" t="n">
        <x:v>2021</x:v>
      </x:c>
      <x:c r="C204" s="119" t="str">
        <x:v>Test</x:v>
      </x:c>
      <x:c r="D204" s="119" t="str">
        <x:v>2021 ENVIII Matematică Test 05</x:v>
      </x:c>
      <x:c r="E204" s="120" t="str">
        <x:v>Neînceput</x:v>
      </x:c>
      <x:c r="F204" s="120" t="str">
        <x:v>Normal</x:v>
      </x:c>
      <x:c r="G204" s="121" t="n">
        <x:f>IF($E204="Amânat",0,Setari!$B$6)</x:f>
        <x:v>20</x:v>
      </x:c>
      <x:c r="H204" s="121" t="n">
        <x:f>IF($E204="Amânat",0,Setari!$B$7)</x:f>
        <x:v>15</x:v>
      </x:c>
      <x:c r="I204" s="121" t="n">
        <x:f>IF($E204="Amânat",0,Setari!$B$8)</x:f>
        <x:v>8</x:v>
      </x:c>
      <x:c r="J204" s="121" t="n">
        <x:f>IF($E204="Amânat",0,Setari!$B$9)</x:f>
        <x:v>5</x:v>
      </x:c>
      <x:c r="K204" s="121" t="n">
        <x:f>SUM(G204:J204)</x:f>
        <x:v>48</x:v>
      </x:c>
      <x:c r="L204" s="122" t="n">
        <x:f>K204/60</x:f>
        <x:v>0.8</x:v>
      </x:c>
      <x:c r="M204" s="119" t="str">
        <x:v>2021/2021_ENVIII_matematica_Test_05.md</x:v>
      </x:c>
      <x:c r="N204" s="119" t="str">
        <x:v>2021/2021_ENVIII_matematica_Test_05.pdf</x:v>
      </x:c>
      <x:c r="O204" s="119" t="str">
        <x:v>2021/2021_ENVIII_matematica_Barem_05.md + .pdf</x:v>
      </x:c>
      <x:c r="P204" s="123" t="str"/>
    </x:row>
    <x:row r="205">
      <x:c r="A205" s="118" t="n">
        <x:v>199</x:v>
      </x:c>
      <x:c r="B205" s="119" t="n">
        <x:v>2021</x:v>
      </x:c>
      <x:c r="C205" s="119" t="str">
        <x:v>Test</x:v>
      </x:c>
      <x:c r="D205" s="119" t="str">
        <x:v>2021 ENVIII Matematică Test 06</x:v>
      </x:c>
      <x:c r="E205" s="120" t="str">
        <x:v>Neînceput</x:v>
      </x:c>
      <x:c r="F205" s="120" t="str">
        <x:v>Normal</x:v>
      </x:c>
      <x:c r="G205" s="121" t="n">
        <x:f>IF($E205="Amânat",0,Setari!$B$6)</x:f>
        <x:v>20</x:v>
      </x:c>
      <x:c r="H205" s="121" t="n">
        <x:f>IF($E205="Amânat",0,Setari!$B$7)</x:f>
        <x:v>15</x:v>
      </x:c>
      <x:c r="I205" s="121" t="n">
        <x:f>IF($E205="Amânat",0,Setari!$B$8)</x:f>
        <x:v>8</x:v>
      </x:c>
      <x:c r="J205" s="121" t="n">
        <x:f>IF($E205="Amânat",0,Setari!$B$9)</x:f>
        <x:v>5</x:v>
      </x:c>
      <x:c r="K205" s="121" t="n">
        <x:f>SUM(G205:J205)</x:f>
        <x:v>48</x:v>
      </x:c>
      <x:c r="L205" s="122" t="n">
        <x:f>K205/60</x:f>
        <x:v>0.8</x:v>
      </x:c>
      <x:c r="M205" s="119" t="str">
        <x:v>2021/2021_ENVIII_matematica_Test_06.md</x:v>
      </x:c>
      <x:c r="N205" s="119" t="str">
        <x:v>2021/2021_ENVIII_matematica_Test_06.pdf</x:v>
      </x:c>
      <x:c r="O205" s="119" t="str">
        <x:v>2021/2021_ENVIII_matematica_Barem_06.md + .pdf</x:v>
      </x:c>
      <x:c r="P205" s="123" t="str"/>
    </x:row>
    <x:row r="206">
      <x:c r="A206" s="118" t="n">
        <x:v>200</x:v>
      </x:c>
      <x:c r="B206" s="119" t="n">
        <x:v>2021</x:v>
      </x:c>
      <x:c r="C206" s="119" t="str">
        <x:v>Test</x:v>
      </x:c>
      <x:c r="D206" s="119" t="str">
        <x:v>2021 ENVIII Matematică Test 07</x:v>
      </x:c>
      <x:c r="E206" s="120" t="str">
        <x:v>Neînceput</x:v>
      </x:c>
      <x:c r="F206" s="120" t="str">
        <x:v>Normal</x:v>
      </x:c>
      <x:c r="G206" s="121" t="n">
        <x:f>IF($E206="Amânat",0,Setari!$B$6)</x:f>
        <x:v>20</x:v>
      </x:c>
      <x:c r="H206" s="121" t="n">
        <x:f>IF($E206="Amânat",0,Setari!$B$7)</x:f>
        <x:v>15</x:v>
      </x:c>
      <x:c r="I206" s="121" t="n">
        <x:f>IF($E206="Amânat",0,Setari!$B$8)</x:f>
        <x:v>8</x:v>
      </x:c>
      <x:c r="J206" s="121" t="n">
        <x:f>IF($E206="Amânat",0,Setari!$B$9)</x:f>
        <x:v>5</x:v>
      </x:c>
      <x:c r="K206" s="121" t="n">
        <x:f>SUM(G206:J206)</x:f>
        <x:v>48</x:v>
      </x:c>
      <x:c r="L206" s="122" t="n">
        <x:f>K206/60</x:f>
        <x:v>0.8</x:v>
      </x:c>
      <x:c r="M206" s="119" t="str">
        <x:v>2021/2021_ENVIII_matematica_Test_07.md</x:v>
      </x:c>
      <x:c r="N206" s="119" t="str">
        <x:v>2021/2021_ENVIII_matematica_Test_07.pdf</x:v>
      </x:c>
      <x:c r="O206" s="119" t="str">
        <x:v>2021/2021_ENVIII_matematica_Barem_07.md + .pdf</x:v>
      </x:c>
      <x:c r="P206" s="123" t="str"/>
    </x:row>
    <x:row r="207">
      <x:c r="A207" s="118" t="n">
        <x:v>201</x:v>
      </x:c>
      <x:c r="B207" s="119" t="n">
        <x:v>2021</x:v>
      </x:c>
      <x:c r="C207" s="119" t="str">
        <x:v>Test</x:v>
      </x:c>
      <x:c r="D207" s="119" t="str">
        <x:v>2021 ENVIII Matematică Test 08</x:v>
      </x:c>
      <x:c r="E207" s="120" t="str">
        <x:v>Neînceput</x:v>
      </x:c>
      <x:c r="F207" s="120" t="str">
        <x:v>Normal</x:v>
      </x:c>
      <x:c r="G207" s="121" t="n">
        <x:f>IF($E207="Amânat",0,Setari!$B$6)</x:f>
        <x:v>20</x:v>
      </x:c>
      <x:c r="H207" s="121" t="n">
        <x:f>IF($E207="Amânat",0,Setari!$B$7)</x:f>
        <x:v>15</x:v>
      </x:c>
      <x:c r="I207" s="121" t="n">
        <x:f>IF($E207="Amânat",0,Setari!$B$8)</x:f>
        <x:v>8</x:v>
      </x:c>
      <x:c r="J207" s="121" t="n">
        <x:f>IF($E207="Amânat",0,Setari!$B$9)</x:f>
        <x:v>5</x:v>
      </x:c>
      <x:c r="K207" s="121" t="n">
        <x:f>SUM(G207:J207)</x:f>
        <x:v>48</x:v>
      </x:c>
      <x:c r="L207" s="122" t="n">
        <x:f>K207/60</x:f>
        <x:v>0.8</x:v>
      </x:c>
      <x:c r="M207" s="119" t="str">
        <x:v>2021/2021_ENVIII_matematica_Test_08.md</x:v>
      </x:c>
      <x:c r="N207" s="119" t="str">
        <x:v>2021/2021_ENVIII_matematica_Test_08.pdf</x:v>
      </x:c>
      <x:c r="O207" s="119" t="str">
        <x:v>2021/2021_ENVIII_matematica_Barem_08.md + .pdf</x:v>
      </x:c>
      <x:c r="P207" s="123" t="str"/>
    </x:row>
    <x:row r="208">
      <x:c r="A208" s="118" t="n">
        <x:v>202</x:v>
      </x:c>
      <x:c r="B208" s="119" t="n">
        <x:v>2021</x:v>
      </x:c>
      <x:c r="C208" s="119" t="str">
        <x:v>Test</x:v>
      </x:c>
      <x:c r="D208" s="119" t="str">
        <x:v>2021 ENVIII Matematică Test 09</x:v>
      </x:c>
      <x:c r="E208" s="120" t="str">
        <x:v>Neînceput</x:v>
      </x:c>
      <x:c r="F208" s="120" t="str">
        <x:v>Normal</x:v>
      </x:c>
      <x:c r="G208" s="121" t="n">
        <x:f>IF($E208="Amânat",0,Setari!$B$6)</x:f>
        <x:v>20</x:v>
      </x:c>
      <x:c r="H208" s="121" t="n">
        <x:f>IF($E208="Amânat",0,Setari!$B$7)</x:f>
        <x:v>15</x:v>
      </x:c>
      <x:c r="I208" s="121" t="n">
        <x:f>IF($E208="Amânat",0,Setari!$B$8)</x:f>
        <x:v>8</x:v>
      </x:c>
      <x:c r="J208" s="121" t="n">
        <x:f>IF($E208="Amânat",0,Setari!$B$9)</x:f>
        <x:v>5</x:v>
      </x:c>
      <x:c r="K208" s="121" t="n">
        <x:f>SUM(G208:J208)</x:f>
        <x:v>48</x:v>
      </x:c>
      <x:c r="L208" s="122" t="n">
        <x:f>K208/60</x:f>
        <x:v>0.8</x:v>
      </x:c>
      <x:c r="M208" s="119" t="str">
        <x:v>2021/2021_ENVIII_matematica_Test_09.md</x:v>
      </x:c>
      <x:c r="N208" s="119" t="str">
        <x:v>2021/2021_ENVIII_matematica_Test_09.pdf</x:v>
      </x:c>
      <x:c r="O208" s="119" t="str">
        <x:v>2021/2021_ENVIII_matematica_Barem_09.md + .pdf</x:v>
      </x:c>
      <x:c r="P208" s="123" t="str"/>
    </x:row>
    <x:row r="209">
      <x:c r="A209" s="118" t="n">
        <x:v>203</x:v>
      </x:c>
      <x:c r="B209" s="119" t="n">
        <x:v>2021</x:v>
      </x:c>
      <x:c r="C209" s="119" t="str">
        <x:v>Test</x:v>
      </x:c>
      <x:c r="D209" s="119" t="str">
        <x:v>2021 ENVIII Matematică Test 10</x:v>
      </x:c>
      <x:c r="E209" s="120" t="str">
        <x:v>Neînceput</x:v>
      </x:c>
      <x:c r="F209" s="120" t="str">
        <x:v>Normal</x:v>
      </x:c>
      <x:c r="G209" s="121" t="n">
        <x:f>IF($E209="Amânat",0,Setari!$B$6)</x:f>
        <x:v>20</x:v>
      </x:c>
      <x:c r="H209" s="121" t="n">
        <x:f>IF($E209="Amânat",0,Setari!$B$7)</x:f>
        <x:v>15</x:v>
      </x:c>
      <x:c r="I209" s="121" t="n">
        <x:f>IF($E209="Amânat",0,Setari!$B$8)</x:f>
        <x:v>8</x:v>
      </x:c>
      <x:c r="J209" s="121" t="n">
        <x:f>IF($E209="Amânat",0,Setari!$B$9)</x:f>
        <x:v>5</x:v>
      </x:c>
      <x:c r="K209" s="121" t="n">
        <x:f>SUM(G209:J209)</x:f>
        <x:v>48</x:v>
      </x:c>
      <x:c r="L209" s="122" t="n">
        <x:f>K209/60</x:f>
        <x:v>0.8</x:v>
      </x:c>
      <x:c r="M209" s="119" t="str">
        <x:v>2021/2021_ENVIII_matematica_Test_10.md</x:v>
      </x:c>
      <x:c r="N209" s="119" t="str">
        <x:v>2021/2021_ENVIII_matematica_Test_10.pdf</x:v>
      </x:c>
      <x:c r="O209" s="119" t="str">
        <x:v>2021/2021_ENVIII_matematica_Barem_10.md + .pdf</x:v>
      </x:c>
      <x:c r="P209" s="123" t="str"/>
    </x:row>
    <x:row r="210">
      <x:c r="A210" s="118" t="n">
        <x:v>204</x:v>
      </x:c>
      <x:c r="B210" s="119" t="n">
        <x:v>2021</x:v>
      </x:c>
      <x:c r="C210" s="119" t="str">
        <x:v>Test</x:v>
      </x:c>
      <x:c r="D210" s="119" t="str">
        <x:v>2021 ENVIII Matematică Test 11</x:v>
      </x:c>
      <x:c r="E210" s="120" t="str">
        <x:v>Neînceput</x:v>
      </x:c>
      <x:c r="F210" s="120" t="str">
        <x:v>Normal</x:v>
      </x:c>
      <x:c r="G210" s="121" t="n">
        <x:f>IF($E210="Amânat",0,Setari!$B$6)</x:f>
        <x:v>20</x:v>
      </x:c>
      <x:c r="H210" s="121" t="n">
        <x:f>IF($E210="Amânat",0,Setari!$B$7)</x:f>
        <x:v>15</x:v>
      </x:c>
      <x:c r="I210" s="121" t="n">
        <x:f>IF($E210="Amânat",0,Setari!$B$8)</x:f>
        <x:v>8</x:v>
      </x:c>
      <x:c r="J210" s="121" t="n">
        <x:f>IF($E210="Amânat",0,Setari!$B$9)</x:f>
        <x:v>5</x:v>
      </x:c>
      <x:c r="K210" s="121" t="n">
        <x:f>SUM(G210:J210)</x:f>
        <x:v>48</x:v>
      </x:c>
      <x:c r="L210" s="122" t="n">
        <x:f>K210/60</x:f>
        <x:v>0.8</x:v>
      </x:c>
      <x:c r="M210" s="119" t="str">
        <x:v>2021/2021_ENVIII_matematica_Test_11.md</x:v>
      </x:c>
      <x:c r="N210" s="119" t="str">
        <x:v>2021/2021_ENVIII_matematica_Test_11.pdf</x:v>
      </x:c>
      <x:c r="O210" s="119" t="str">
        <x:v>2021/2021_ENVIII_matematica_Barem_11.md + .pdf</x:v>
      </x:c>
      <x:c r="P210" s="123" t="str"/>
    </x:row>
    <x:row r="211">
      <x:c r="A211" s="118" t="n">
        <x:v>205</x:v>
      </x:c>
      <x:c r="B211" s="119" t="n">
        <x:v>2021</x:v>
      </x:c>
      <x:c r="C211" s="119" t="str">
        <x:v>Test</x:v>
      </x:c>
      <x:c r="D211" s="119" t="str">
        <x:v>2021 ENVIII Matematică Test 12</x:v>
      </x:c>
      <x:c r="E211" s="120" t="str">
        <x:v>Neînceput</x:v>
      </x:c>
      <x:c r="F211" s="120" t="str">
        <x:v>Normal</x:v>
      </x:c>
      <x:c r="G211" s="121" t="n">
        <x:f>IF($E211="Amânat",0,Setari!$B$6)</x:f>
        <x:v>20</x:v>
      </x:c>
      <x:c r="H211" s="121" t="n">
        <x:f>IF($E211="Amânat",0,Setari!$B$7)</x:f>
        <x:v>15</x:v>
      </x:c>
      <x:c r="I211" s="121" t="n">
        <x:f>IF($E211="Amânat",0,Setari!$B$8)</x:f>
        <x:v>8</x:v>
      </x:c>
      <x:c r="J211" s="121" t="n">
        <x:f>IF($E211="Amânat",0,Setari!$B$9)</x:f>
        <x:v>5</x:v>
      </x:c>
      <x:c r="K211" s="121" t="n">
        <x:f>SUM(G211:J211)</x:f>
        <x:v>48</x:v>
      </x:c>
      <x:c r="L211" s="122" t="n">
        <x:f>K211/60</x:f>
        <x:v>0.8</x:v>
      </x:c>
      <x:c r="M211" s="119" t="str">
        <x:v>2021/2021_ENVIII_matematica_Test_12.md</x:v>
      </x:c>
      <x:c r="N211" s="119" t="str">
        <x:v>2021/2021_ENVIII_matematica_Test_12.pdf</x:v>
      </x:c>
      <x:c r="O211" s="119" t="str">
        <x:v>2021/2021_ENVIII_matematica_Barem_12.md + .pdf</x:v>
      </x:c>
      <x:c r="P211" s="123" t="str"/>
    </x:row>
    <x:row r="212">
      <x:c r="A212" s="118" t="n">
        <x:v>206</x:v>
      </x:c>
      <x:c r="B212" s="119" t="n">
        <x:v>2021</x:v>
      </x:c>
      <x:c r="C212" s="119" t="str">
        <x:v>Test</x:v>
      </x:c>
      <x:c r="D212" s="119" t="str">
        <x:v>2021 ENVIII Matematică Test 13</x:v>
      </x:c>
      <x:c r="E212" s="120" t="str">
        <x:v>Neînceput</x:v>
      </x:c>
      <x:c r="F212" s="120" t="str">
        <x:v>Normal</x:v>
      </x:c>
      <x:c r="G212" s="121" t="n">
        <x:f>IF($E212="Amânat",0,Setari!$B$6)</x:f>
        <x:v>20</x:v>
      </x:c>
      <x:c r="H212" s="121" t="n">
        <x:f>IF($E212="Amânat",0,Setari!$B$7)</x:f>
        <x:v>15</x:v>
      </x:c>
      <x:c r="I212" s="121" t="n">
        <x:f>IF($E212="Amânat",0,Setari!$B$8)</x:f>
        <x:v>8</x:v>
      </x:c>
      <x:c r="J212" s="121" t="n">
        <x:f>IF($E212="Amânat",0,Setari!$B$9)</x:f>
        <x:v>5</x:v>
      </x:c>
      <x:c r="K212" s="121" t="n">
        <x:f>SUM(G212:J212)</x:f>
        <x:v>48</x:v>
      </x:c>
      <x:c r="L212" s="122" t="n">
        <x:f>K212/60</x:f>
        <x:v>0.8</x:v>
      </x:c>
      <x:c r="M212" s="119" t="str">
        <x:v>2021/2021_ENVIII_matematica_Test_13.md</x:v>
      </x:c>
      <x:c r="N212" s="119" t="str">
        <x:v>2021/2021_ENVIII_matematica_Test_13.pdf</x:v>
      </x:c>
      <x:c r="O212" s="119" t="str">
        <x:v>2021/2021_ENVIII_matematica_Barem_13.md + .pdf</x:v>
      </x:c>
      <x:c r="P212" s="123" t="str"/>
    </x:row>
    <x:row r="213">
      <x:c r="A213" s="118" t="n">
        <x:v>207</x:v>
      </x:c>
      <x:c r="B213" s="119" t="n">
        <x:v>2021</x:v>
      </x:c>
      <x:c r="C213" s="119" t="str">
        <x:v>Test</x:v>
      </x:c>
      <x:c r="D213" s="119" t="str">
        <x:v>2021 ENVIII Matematică Test 14</x:v>
      </x:c>
      <x:c r="E213" s="120" t="str">
        <x:v>Neînceput</x:v>
      </x:c>
      <x:c r="F213" s="120" t="str">
        <x:v>Normal</x:v>
      </x:c>
      <x:c r="G213" s="121" t="n">
        <x:f>IF($E213="Amânat",0,Setari!$B$6)</x:f>
        <x:v>20</x:v>
      </x:c>
      <x:c r="H213" s="121" t="n">
        <x:f>IF($E213="Amânat",0,Setari!$B$7)</x:f>
        <x:v>15</x:v>
      </x:c>
      <x:c r="I213" s="121" t="n">
        <x:f>IF($E213="Amânat",0,Setari!$B$8)</x:f>
        <x:v>8</x:v>
      </x:c>
      <x:c r="J213" s="121" t="n">
        <x:f>IF($E213="Amânat",0,Setari!$B$9)</x:f>
        <x:v>5</x:v>
      </x:c>
      <x:c r="K213" s="121" t="n">
        <x:f>SUM(G213:J213)</x:f>
        <x:v>48</x:v>
      </x:c>
      <x:c r="L213" s="122" t="n">
        <x:f>K213/60</x:f>
        <x:v>0.8</x:v>
      </x:c>
      <x:c r="M213" s="119" t="str">
        <x:v>2021/2021_ENVIII_matematica_Test_14.md</x:v>
      </x:c>
      <x:c r="N213" s="119" t="str">
        <x:v>2021/2021_ENVIII_matematica_Test_14.pdf</x:v>
      </x:c>
      <x:c r="O213" s="119" t="str">
        <x:v>2021/2021_ENVIII_matematica_Barem_14.md + .pdf</x:v>
      </x:c>
      <x:c r="P213" s="123" t="str"/>
    </x:row>
    <x:row r="214">
      <x:c r="A214" s="118" t="n">
        <x:v>208</x:v>
      </x:c>
      <x:c r="B214" s="119" t="n">
        <x:v>2021</x:v>
      </x:c>
      <x:c r="C214" s="119" t="str">
        <x:v>Test</x:v>
      </x:c>
      <x:c r="D214" s="119" t="str">
        <x:v>2021 ENVIII Matematică Test 15</x:v>
      </x:c>
      <x:c r="E214" s="120" t="str">
        <x:v>Neînceput</x:v>
      </x:c>
      <x:c r="F214" s="120" t="str">
        <x:v>Normal</x:v>
      </x:c>
      <x:c r="G214" s="121" t="n">
        <x:f>IF($E214="Amânat",0,Setari!$B$6)</x:f>
        <x:v>20</x:v>
      </x:c>
      <x:c r="H214" s="121" t="n">
        <x:f>IF($E214="Amânat",0,Setari!$B$7)</x:f>
        <x:v>15</x:v>
      </x:c>
      <x:c r="I214" s="121" t="n">
        <x:f>IF($E214="Amânat",0,Setari!$B$8)</x:f>
        <x:v>8</x:v>
      </x:c>
      <x:c r="J214" s="121" t="n">
        <x:f>IF($E214="Amânat",0,Setari!$B$9)</x:f>
        <x:v>5</x:v>
      </x:c>
      <x:c r="K214" s="121" t="n">
        <x:f>SUM(G214:J214)</x:f>
        <x:v>48</x:v>
      </x:c>
      <x:c r="L214" s="122" t="n">
        <x:f>K214/60</x:f>
        <x:v>0.8</x:v>
      </x:c>
      <x:c r="M214" s="119" t="str">
        <x:v>2021/2021_ENVIII_matematica_Test_15.md</x:v>
      </x:c>
      <x:c r="N214" s="119" t="str">
        <x:v>2021/2021_ENVIII_matematica_Test_15.pdf</x:v>
      </x:c>
      <x:c r="O214" s="119" t="str">
        <x:v>2021/2021_ENVIII_matematica_Barem_15.md + .pdf</x:v>
      </x:c>
      <x:c r="P214" s="123" t="str"/>
    </x:row>
    <x:row r="215">
      <x:c r="A215" s="118" t="n">
        <x:v>209</x:v>
      </x:c>
      <x:c r="B215" s="119" t="n">
        <x:v>2022</x:v>
      </x:c>
      <x:c r="C215" s="119" t="str">
        <x:v>Examen</x:v>
      </x:c>
      <x:c r="D215" s="119" t="str">
        <x:v>2022 EN Matematică Examen Subiect 02</x:v>
      </x:c>
      <x:c r="E215" s="120" t="str">
        <x:v>Neînceput</x:v>
      </x:c>
      <x:c r="F215" s="120" t="str">
        <x:v>Normal</x:v>
      </x:c>
      <x:c r="G215" s="121" t="n">
        <x:f>IF($E215="Amânat",0,Setari!$B$6)</x:f>
        <x:v>20</x:v>
      </x:c>
      <x:c r="H215" s="121" t="n">
        <x:f>IF($E215="Amânat",0,Setari!$B$7)</x:f>
        <x:v>15</x:v>
      </x:c>
      <x:c r="I215" s="121" t="n">
        <x:f>IF($E215="Amânat",0,Setari!$B$8)</x:f>
        <x:v>8</x:v>
      </x:c>
      <x:c r="J215" s="121" t="n">
        <x:f>IF($E215="Amânat",0,Setari!$B$9)</x:f>
        <x:v>5</x:v>
      </x:c>
      <x:c r="K215" s="121" t="n">
        <x:f>SUM(G215:J215)</x:f>
        <x:v>48</x:v>
      </x:c>
      <x:c r="L215" s="122" t="n">
        <x:f>K215/60</x:f>
        <x:v>0.8</x:v>
      </x:c>
      <x:c r="M215" s="119" t="str">
        <x:v>2022/2022_EN_Matematica_Examen_Subiect_02_LRO.md</x:v>
      </x:c>
      <x:c r="N215" s="119" t="str">
        <x:v>2022/2022_EN_Matematica_Examen_Subiect_02_LRO.pdf</x:v>
      </x:c>
      <x:c r="O215" s="119" t="str">
        <x:v>2022/2022_EN_Matematica_Examen_Barem_02_LRO.md + .pdf</x:v>
      </x:c>
      <x:c r="P215" s="123" t="str"/>
    </x:row>
    <x:row r="216">
      <x:c r="A216" s="118" t="n">
        <x:v>210</x:v>
      </x:c>
      <x:c r="B216" s="119" t="n">
        <x:v>2022</x:v>
      </x:c>
      <x:c r="C216" s="119" t="str">
        <x:v>Model</x:v>
      </x:c>
      <x:c r="D216" s="119" t="str">
        <x:v>2022 EN Matematică Model Subiect</x:v>
      </x:c>
      <x:c r="E216" s="120" t="str">
        <x:v>Neînceput</x:v>
      </x:c>
      <x:c r="F216" s="120" t="str">
        <x:v>Normal</x:v>
      </x:c>
      <x:c r="G216" s="121" t="n">
        <x:f>IF($E216="Amânat",0,Setari!$B$6)</x:f>
        <x:v>20</x:v>
      </x:c>
      <x:c r="H216" s="121" t="n">
        <x:f>IF($E216="Amânat",0,Setari!$B$7)</x:f>
        <x:v>15</x:v>
      </x:c>
      <x:c r="I216" s="121" t="n">
        <x:f>IF($E216="Amânat",0,Setari!$B$8)</x:f>
        <x:v>8</x:v>
      </x:c>
      <x:c r="J216" s="121" t="n">
        <x:f>IF($E216="Amânat",0,Setari!$B$9)</x:f>
        <x:v>5</x:v>
      </x:c>
      <x:c r="K216" s="121" t="n">
        <x:f>SUM(G216:J216)</x:f>
        <x:v>48</x:v>
      </x:c>
      <x:c r="L216" s="122" t="n">
        <x:f>K216/60</x:f>
        <x:v>0.8</x:v>
      </x:c>
      <x:c r="M216" s="119" t="str">
        <x:v>2022/2022_EN_Matematica_Model_Subiect_LRO.md</x:v>
      </x:c>
      <x:c r="N216" s="119" t="str">
        <x:v>2022/2022_EN_Matematica_Model_Subiect_LRO.pdf</x:v>
      </x:c>
      <x:c r="O216" s="119" t="str">
        <x:v>2022/2022_EN_Matematica_Model_Barem_LRO.md + .pdf</x:v>
      </x:c>
      <x:c r="P216" s="123" t="str"/>
    </x:row>
    <x:row r="217">
      <x:c r="A217" s="118" t="n">
        <x:v>211</x:v>
      </x:c>
      <x:c r="B217" s="119" t="n">
        <x:v>2022</x:v>
      </x:c>
      <x:c r="C217" s="119" t="str">
        <x:v>Rezervă</x:v>
      </x:c>
      <x:c r="D217" s="119" t="str">
        <x:v>2022 EN Matematică Rezerva Examen Subiect 01</x:v>
      </x:c>
      <x:c r="E217" s="120" t="str">
        <x:v>Neînceput</x:v>
      </x:c>
      <x:c r="F217" s="120" t="str">
        <x:v>Normal</x:v>
      </x:c>
      <x:c r="G217" s="121" t="n">
        <x:f>IF($E217="Amânat",0,Setari!$B$6)</x:f>
        <x:v>20</x:v>
      </x:c>
      <x:c r="H217" s="121" t="n">
        <x:f>IF($E217="Amânat",0,Setari!$B$7)</x:f>
        <x:v>15</x:v>
      </x:c>
      <x:c r="I217" s="121" t="n">
        <x:f>IF($E217="Amânat",0,Setari!$B$8)</x:f>
        <x:v>8</x:v>
      </x:c>
      <x:c r="J217" s="121" t="n">
        <x:f>IF($E217="Amânat",0,Setari!$B$9)</x:f>
        <x:v>5</x:v>
      </x:c>
      <x:c r="K217" s="121" t="n">
        <x:f>SUM(G217:J217)</x:f>
        <x:v>48</x:v>
      </x:c>
      <x:c r="L217" s="122" t="n">
        <x:f>K217/60</x:f>
        <x:v>0.8</x:v>
      </x:c>
      <x:c r="M217" s="119" t="str">
        <x:v>2022/2022_EN_Matematica_Rezerva_Examen_Subiect_01_LRO.md</x:v>
      </x:c>
      <x:c r="N217" s="119" t="str">
        <x:v>2022/2022_EN_Matematica_Rezerva_Examen_Subiect_01_LRO.pdf</x:v>
      </x:c>
      <x:c r="O217" s="119" t="str">
        <x:v>2022/2022_EN_Matematica_Rezerva_Examen_Barem_01_LRO.md + .pdf</x:v>
      </x:c>
      <x:c r="P217" s="123" t="str"/>
    </x:row>
    <x:row r="218">
      <x:c r="A218" s="118" t="n">
        <x:v>212</x:v>
      </x:c>
      <x:c r="B218" s="119" t="n">
        <x:v>2022</x:v>
      </x:c>
      <x:c r="C218" s="119" t="str">
        <x:v>Simulare</x:v>
      </x:c>
      <x:c r="D218" s="119" t="str">
        <x:v>2022 EN Matematică Simulare Subiect</x:v>
      </x:c>
      <x:c r="E218" s="120" t="str">
        <x:v>Neînceput</x:v>
      </x:c>
      <x:c r="F218" s="120" t="str">
        <x:v>Normal</x:v>
      </x:c>
      <x:c r="G218" s="121" t="n">
        <x:f>IF($E218="Amânat",0,Setari!$B$6)</x:f>
        <x:v>20</x:v>
      </x:c>
      <x:c r="H218" s="121" t="n">
        <x:f>IF($E218="Amânat",0,Setari!$B$7)</x:f>
        <x:v>15</x:v>
      </x:c>
      <x:c r="I218" s="121" t="n">
        <x:f>IF($E218="Amânat",0,Setari!$B$8)</x:f>
        <x:v>8</x:v>
      </x:c>
      <x:c r="J218" s="121" t="n">
        <x:f>IF($E218="Amânat",0,Setari!$B$9)</x:f>
        <x:v>5</x:v>
      </x:c>
      <x:c r="K218" s="121" t="n">
        <x:f>SUM(G218:J218)</x:f>
        <x:v>48</x:v>
      </x:c>
      <x:c r="L218" s="122" t="n">
        <x:f>K218/60</x:f>
        <x:v>0.8</x:v>
      </x:c>
      <x:c r="M218" s="119" t="str">
        <x:v>2022/2022_EN_Matematica_Simulare_Subiect_LRO.md</x:v>
      </x:c>
      <x:c r="N218" s="119" t="str">
        <x:v>2022/2022_EN_Matematica_Simulare_Subiect_LRO.pdf</x:v>
      </x:c>
      <x:c r="O218" s="119" t="str">
        <x:v>2022/2022_EN_Matematica_Simulare_Barem_LRO.md + .pdf</x:v>
      </x:c>
      <x:c r="P218" s="123" t="str"/>
    </x:row>
    <x:row r="219">
      <x:c r="A219" s="118" t="n">
        <x:v>213</x:v>
      </x:c>
      <x:c r="B219" s="119" t="n">
        <x:v>2022</x:v>
      </x:c>
      <x:c r="C219" s="119" t="str">
        <x:v>Test</x:v>
      </x:c>
      <x:c r="D219" s="119" t="str">
        <x:v>2022 ENVIII Matematică Test 01</x:v>
      </x:c>
      <x:c r="E219" s="120" t="str">
        <x:v>Neînceput</x:v>
      </x:c>
      <x:c r="F219" s="120" t="str">
        <x:v>Normal</x:v>
      </x:c>
      <x:c r="G219" s="121" t="n">
        <x:f>IF($E219="Amânat",0,Setari!$B$6)</x:f>
        <x:v>20</x:v>
      </x:c>
      <x:c r="H219" s="121" t="n">
        <x:f>IF($E219="Amânat",0,Setari!$B$7)</x:f>
        <x:v>15</x:v>
      </x:c>
      <x:c r="I219" s="121" t="n">
        <x:f>IF($E219="Amânat",0,Setari!$B$8)</x:f>
        <x:v>8</x:v>
      </x:c>
      <x:c r="J219" s="121" t="n">
        <x:f>IF($E219="Amânat",0,Setari!$B$9)</x:f>
        <x:v>5</x:v>
      </x:c>
      <x:c r="K219" s="121" t="n">
        <x:f>SUM(G219:J219)</x:f>
        <x:v>48</x:v>
      </x:c>
      <x:c r="L219" s="122" t="n">
        <x:f>K219/60</x:f>
        <x:v>0.8</x:v>
      </x:c>
      <x:c r="M219" s="119" t="str">
        <x:v>2022/2022_ENVIII_matematica_Test_01.md</x:v>
      </x:c>
      <x:c r="N219" s="119" t="str">
        <x:v>2022/2022_ENVIII_matematica_Test_01.pdf</x:v>
      </x:c>
      <x:c r="O219" s="119" t="str">
        <x:v>2022/2022_ENVIII_matematica_Barem_01.md + .pdf</x:v>
      </x:c>
      <x:c r="P219" s="123" t="str"/>
    </x:row>
    <x:row r="220">
      <x:c r="A220" s="118" t="n">
        <x:v>214</x:v>
      </x:c>
      <x:c r="B220" s="119" t="n">
        <x:v>2022</x:v>
      </x:c>
      <x:c r="C220" s="119" t="str">
        <x:v>Test</x:v>
      </x:c>
      <x:c r="D220" s="119" t="str">
        <x:v>2022 ENVIII Matematică Test 02</x:v>
      </x:c>
      <x:c r="E220" s="120" t="str">
        <x:v>Neînceput</x:v>
      </x:c>
      <x:c r="F220" s="120" t="str">
        <x:v>Normal</x:v>
      </x:c>
      <x:c r="G220" s="121" t="n">
        <x:f>IF($E220="Amânat",0,Setari!$B$6)</x:f>
        <x:v>20</x:v>
      </x:c>
      <x:c r="H220" s="121" t="n">
        <x:f>IF($E220="Amânat",0,Setari!$B$7)</x:f>
        <x:v>15</x:v>
      </x:c>
      <x:c r="I220" s="121" t="n">
        <x:f>IF($E220="Amânat",0,Setari!$B$8)</x:f>
        <x:v>8</x:v>
      </x:c>
      <x:c r="J220" s="121" t="n">
        <x:f>IF($E220="Amânat",0,Setari!$B$9)</x:f>
        <x:v>5</x:v>
      </x:c>
      <x:c r="K220" s="121" t="n">
        <x:f>SUM(G220:J220)</x:f>
        <x:v>48</x:v>
      </x:c>
      <x:c r="L220" s="122" t="n">
        <x:f>K220/60</x:f>
        <x:v>0.8</x:v>
      </x:c>
      <x:c r="M220" s="119" t="str">
        <x:v>2022/2022_ENVIII_matematica_Test_02.md</x:v>
      </x:c>
      <x:c r="N220" s="119" t="str">
        <x:v>2022/2022_ENVIII_matematica_Test_02.pdf</x:v>
      </x:c>
      <x:c r="O220" s="119" t="str">
        <x:v>2022/2022_ENVIII_matematica_Barem_02.md + .pdf</x:v>
      </x:c>
      <x:c r="P220" s="123" t="str"/>
    </x:row>
    <x:row r="221">
      <x:c r="A221" s="118" t="n">
        <x:v>215</x:v>
      </x:c>
      <x:c r="B221" s="119" t="n">
        <x:v>2022</x:v>
      </x:c>
      <x:c r="C221" s="119" t="str">
        <x:v>Test</x:v>
      </x:c>
      <x:c r="D221" s="119" t="str">
        <x:v>2022 ENVIII Matematică Test 03</x:v>
      </x:c>
      <x:c r="E221" s="120" t="str">
        <x:v>Neînceput</x:v>
      </x:c>
      <x:c r="F221" s="120" t="str">
        <x:v>Normal</x:v>
      </x:c>
      <x:c r="G221" s="121" t="n">
        <x:f>IF($E221="Amânat",0,Setari!$B$6)</x:f>
        <x:v>20</x:v>
      </x:c>
      <x:c r="H221" s="121" t="n">
        <x:f>IF($E221="Amânat",0,Setari!$B$7)</x:f>
        <x:v>15</x:v>
      </x:c>
      <x:c r="I221" s="121" t="n">
        <x:f>IF($E221="Amânat",0,Setari!$B$8)</x:f>
        <x:v>8</x:v>
      </x:c>
      <x:c r="J221" s="121" t="n">
        <x:f>IF($E221="Amânat",0,Setari!$B$9)</x:f>
        <x:v>5</x:v>
      </x:c>
      <x:c r="K221" s="121" t="n">
        <x:f>SUM(G221:J221)</x:f>
        <x:v>48</x:v>
      </x:c>
      <x:c r="L221" s="122" t="n">
        <x:f>K221/60</x:f>
        <x:v>0.8</x:v>
      </x:c>
      <x:c r="M221" s="119" t="str">
        <x:v>2022/2022_ENVIII_matematica_Test_03.md</x:v>
      </x:c>
      <x:c r="N221" s="119" t="str">
        <x:v>2022/2022_ENVIII_matematica_Test_03.pdf</x:v>
      </x:c>
      <x:c r="O221" s="119" t="str">
        <x:v>2022/2022_ENVIII_matematica_Barem_03.md + .pdf</x:v>
      </x:c>
      <x:c r="P221" s="123" t="str"/>
    </x:row>
    <x:row r="222">
      <x:c r="A222" s="118" t="n">
        <x:v>216</x:v>
      </x:c>
      <x:c r="B222" s="119" t="n">
        <x:v>2022</x:v>
      </x:c>
      <x:c r="C222" s="119" t="str">
        <x:v>Test</x:v>
      </x:c>
      <x:c r="D222" s="119" t="str">
        <x:v>2022 ENVIII Matematică Test 04</x:v>
      </x:c>
      <x:c r="E222" s="120" t="str">
        <x:v>Neînceput</x:v>
      </x:c>
      <x:c r="F222" s="120" t="str">
        <x:v>Normal</x:v>
      </x:c>
      <x:c r="G222" s="121" t="n">
        <x:f>IF($E222="Amânat",0,Setari!$B$6)</x:f>
        <x:v>20</x:v>
      </x:c>
      <x:c r="H222" s="121" t="n">
        <x:f>IF($E222="Amânat",0,Setari!$B$7)</x:f>
        <x:v>15</x:v>
      </x:c>
      <x:c r="I222" s="121" t="n">
        <x:f>IF($E222="Amânat",0,Setari!$B$8)</x:f>
        <x:v>8</x:v>
      </x:c>
      <x:c r="J222" s="121" t="n">
        <x:f>IF($E222="Amânat",0,Setari!$B$9)</x:f>
        <x:v>5</x:v>
      </x:c>
      <x:c r="K222" s="121" t="n">
        <x:f>SUM(G222:J222)</x:f>
        <x:v>48</x:v>
      </x:c>
      <x:c r="L222" s="122" t="n">
        <x:f>K222/60</x:f>
        <x:v>0.8</x:v>
      </x:c>
      <x:c r="M222" s="119" t="str">
        <x:v>2022/2022_ENVIII_matematica_Test_04.md</x:v>
      </x:c>
      <x:c r="N222" s="119" t="str">
        <x:v>2022/2022_ENVIII_matematica_Test_04.pdf</x:v>
      </x:c>
      <x:c r="O222" s="119" t="str">
        <x:v>2022/2022_ENVIII_matematica_Barem_04.md + .pdf</x:v>
      </x:c>
      <x:c r="P222" s="123" t="str"/>
    </x:row>
    <x:row r="223">
      <x:c r="A223" s="118" t="n">
        <x:v>217</x:v>
      </x:c>
      <x:c r="B223" s="119" t="n">
        <x:v>2022</x:v>
      </x:c>
      <x:c r="C223" s="119" t="str">
        <x:v>Test</x:v>
      </x:c>
      <x:c r="D223" s="119" t="str">
        <x:v>2022 ENVIII Matematică Test 05</x:v>
      </x:c>
      <x:c r="E223" s="120" t="str">
        <x:v>Neînceput</x:v>
      </x:c>
      <x:c r="F223" s="120" t="str">
        <x:v>Normal</x:v>
      </x:c>
      <x:c r="G223" s="121" t="n">
        <x:f>IF($E223="Amânat",0,Setari!$B$6)</x:f>
        <x:v>20</x:v>
      </x:c>
      <x:c r="H223" s="121" t="n">
        <x:f>IF($E223="Amânat",0,Setari!$B$7)</x:f>
        <x:v>15</x:v>
      </x:c>
      <x:c r="I223" s="121" t="n">
        <x:f>IF($E223="Amânat",0,Setari!$B$8)</x:f>
        <x:v>8</x:v>
      </x:c>
      <x:c r="J223" s="121" t="n">
        <x:f>IF($E223="Amânat",0,Setari!$B$9)</x:f>
        <x:v>5</x:v>
      </x:c>
      <x:c r="K223" s="121" t="n">
        <x:f>SUM(G223:J223)</x:f>
        <x:v>48</x:v>
      </x:c>
      <x:c r="L223" s="122" t="n">
        <x:f>K223/60</x:f>
        <x:v>0.8</x:v>
      </x:c>
      <x:c r="M223" s="119" t="str">
        <x:v>2022/2022_ENVIII_matematica_Test_05.md</x:v>
      </x:c>
      <x:c r="N223" s="119" t="str">
        <x:v>2022/2022_ENVIII_matematica_Test_05.pdf</x:v>
      </x:c>
      <x:c r="O223" s="119" t="str">
        <x:v>2022/2022_ENVIII_matematica_Barem_05.md + .pdf</x:v>
      </x:c>
      <x:c r="P223" s="123" t="str"/>
    </x:row>
    <x:row r="224">
      <x:c r="A224" s="118" t="n">
        <x:v>218</x:v>
      </x:c>
      <x:c r="B224" s="119" t="n">
        <x:v>2022</x:v>
      </x:c>
      <x:c r="C224" s="119" t="str">
        <x:v>Test</x:v>
      </x:c>
      <x:c r="D224" s="119" t="str">
        <x:v>2022 ENVIII Matematică Test 06</x:v>
      </x:c>
      <x:c r="E224" s="120" t="str">
        <x:v>Neînceput</x:v>
      </x:c>
      <x:c r="F224" s="120" t="str">
        <x:v>Normal</x:v>
      </x:c>
      <x:c r="G224" s="121" t="n">
        <x:f>IF($E224="Amânat",0,Setari!$B$6)</x:f>
        <x:v>20</x:v>
      </x:c>
      <x:c r="H224" s="121" t="n">
        <x:f>IF($E224="Amânat",0,Setari!$B$7)</x:f>
        <x:v>15</x:v>
      </x:c>
      <x:c r="I224" s="121" t="n">
        <x:f>IF($E224="Amânat",0,Setari!$B$8)</x:f>
        <x:v>8</x:v>
      </x:c>
      <x:c r="J224" s="121" t="n">
        <x:f>IF($E224="Amânat",0,Setari!$B$9)</x:f>
        <x:v>5</x:v>
      </x:c>
      <x:c r="K224" s="121" t="n">
        <x:f>SUM(G224:J224)</x:f>
        <x:v>48</x:v>
      </x:c>
      <x:c r="L224" s="122" t="n">
        <x:f>K224/60</x:f>
        <x:v>0.8</x:v>
      </x:c>
      <x:c r="M224" s="119" t="str">
        <x:v>2022/2022_ENVIII_matematica_Test_06.md</x:v>
      </x:c>
      <x:c r="N224" s="119" t="str">
        <x:v>2022/2022_ENVIII_matematica_Test_06.pdf</x:v>
      </x:c>
      <x:c r="O224" s="119" t="str">
        <x:v>2022/2022_ENVIII_matematica_Barem_06.md + .pdf</x:v>
      </x:c>
      <x:c r="P224" s="123" t="str"/>
    </x:row>
    <x:row r="225">
      <x:c r="A225" s="118" t="n">
        <x:v>219</x:v>
      </x:c>
      <x:c r="B225" s="119" t="n">
        <x:v>2023</x:v>
      </x:c>
      <x:c r="C225" s="119" t="str">
        <x:v>Examen</x:v>
      </x:c>
      <x:c r="D225" s="119" t="str">
        <x:v>2023 EN Matematică Examen Subiect 01</x:v>
      </x:c>
      <x:c r="E225" s="120" t="str">
        <x:v>Neînceput</x:v>
      </x:c>
      <x:c r="F225" s="120" t="str">
        <x:v>Normal</x:v>
      </x:c>
      <x:c r="G225" s="121" t="n">
        <x:f>IF($E225="Amânat",0,Setari!$B$6)</x:f>
        <x:v>20</x:v>
      </x:c>
      <x:c r="H225" s="121" t="n">
        <x:f>IF($E225="Amânat",0,Setari!$B$7)</x:f>
        <x:v>15</x:v>
      </x:c>
      <x:c r="I225" s="121" t="n">
        <x:f>IF($E225="Amânat",0,Setari!$B$8)</x:f>
        <x:v>8</x:v>
      </x:c>
      <x:c r="J225" s="121" t="n">
        <x:f>IF($E225="Amânat",0,Setari!$B$9)</x:f>
        <x:v>5</x:v>
      </x:c>
      <x:c r="K225" s="121" t="n">
        <x:f>SUM(G225:J225)</x:f>
        <x:v>48</x:v>
      </x:c>
      <x:c r="L225" s="122" t="n">
        <x:f>K225/60</x:f>
        <x:v>0.8</x:v>
      </x:c>
      <x:c r="M225" s="119" t="str">
        <x:v>2023/2023_EN_Matematica_Examen_Subiect_01_LRO.md</x:v>
      </x:c>
      <x:c r="N225" s="119" t="str">
        <x:v>2023/2023_EN_Matematica_Examen_Subiect_01_LRO.pdf</x:v>
      </x:c>
      <x:c r="O225" s="119" t="str">
        <x:v>2023/2023_EN_Matematica_Examen_Barem_01_LRO.md + .pdf</x:v>
      </x:c>
      <x:c r="P225" s="123" t="str"/>
    </x:row>
    <x:row r="226">
      <x:c r="A226" s="118" t="n">
        <x:v>220</x:v>
      </x:c>
      <x:c r="B226" s="119" t="n">
        <x:v>2023</x:v>
      </x:c>
      <x:c r="C226" s="119" t="str">
        <x:v>Model</x:v>
      </x:c>
      <x:c r="D226" s="119" t="str">
        <x:v>2023 EN Matematică Model Subiect</x:v>
      </x:c>
      <x:c r="E226" s="120" t="str">
        <x:v>Neînceput</x:v>
      </x:c>
      <x:c r="F226" s="120" t="str">
        <x:v>Normal</x:v>
      </x:c>
      <x:c r="G226" s="121" t="n">
        <x:f>IF($E226="Amânat",0,Setari!$B$6)</x:f>
        <x:v>20</x:v>
      </x:c>
      <x:c r="H226" s="121" t="n">
        <x:f>IF($E226="Amânat",0,Setari!$B$7)</x:f>
        <x:v>15</x:v>
      </x:c>
      <x:c r="I226" s="121" t="n">
        <x:f>IF($E226="Amânat",0,Setari!$B$8)</x:f>
        <x:v>8</x:v>
      </x:c>
      <x:c r="J226" s="121" t="n">
        <x:f>IF($E226="Amânat",0,Setari!$B$9)</x:f>
        <x:v>5</x:v>
      </x:c>
      <x:c r="K226" s="121" t="n">
        <x:f>SUM(G226:J226)</x:f>
        <x:v>48</x:v>
      </x:c>
      <x:c r="L226" s="122" t="n">
        <x:f>K226/60</x:f>
        <x:v>0.8</x:v>
      </x:c>
      <x:c r="M226" s="119" t="str">
        <x:v>2023/2023_EN_Matematica_Model_Subiect_LRO.md</x:v>
      </x:c>
      <x:c r="N226" s="119" t="str">
        <x:v>2023/2023_EN_Matematica_Model_Subiect_LRO.pdf</x:v>
      </x:c>
      <x:c r="O226" s="119" t="str">
        <x:v>2023/2023_EN_Matematica_Model_Barem_LRO.md + .pdf</x:v>
      </x:c>
      <x:c r="P226" s="123" t="str"/>
    </x:row>
    <x:row r="227">
      <x:c r="A227" s="118" t="n">
        <x:v>221</x:v>
      </x:c>
      <x:c r="B227" s="119" t="n">
        <x:v>2023</x:v>
      </x:c>
      <x:c r="C227" s="119" t="str">
        <x:v>Rezervă</x:v>
      </x:c>
      <x:c r="D227" s="119" t="str">
        <x:v>2023 EN Matematică Rezerva Examen Subiect 05</x:v>
      </x:c>
      <x:c r="E227" s="120" t="str">
        <x:v>Neînceput</x:v>
      </x:c>
      <x:c r="F227" s="120" t="str">
        <x:v>Normal</x:v>
      </x:c>
      <x:c r="G227" s="121" t="n">
        <x:f>IF($E227="Amânat",0,Setari!$B$6)</x:f>
        <x:v>20</x:v>
      </x:c>
      <x:c r="H227" s="121" t="n">
        <x:f>IF($E227="Amânat",0,Setari!$B$7)</x:f>
        <x:v>15</x:v>
      </x:c>
      <x:c r="I227" s="121" t="n">
        <x:f>IF($E227="Amânat",0,Setari!$B$8)</x:f>
        <x:v>8</x:v>
      </x:c>
      <x:c r="J227" s="121" t="n">
        <x:f>IF($E227="Amânat",0,Setari!$B$9)</x:f>
        <x:v>5</x:v>
      </x:c>
      <x:c r="K227" s="121" t="n">
        <x:f>SUM(G227:J227)</x:f>
        <x:v>48</x:v>
      </x:c>
      <x:c r="L227" s="122" t="n">
        <x:f>K227/60</x:f>
        <x:v>0.8</x:v>
      </x:c>
      <x:c r="M227" s="119" t="str">
        <x:v>2023/2023_EN_Matematica_Rezerva_Examen_Subiect_05_LRO.md</x:v>
      </x:c>
      <x:c r="N227" s="119" t="str">
        <x:v>2023/2023_EN_Matematica_Rezerva_Examen_Subiect_05_LRO.pdf</x:v>
      </x:c>
      <x:c r="O227" s="119" t="str">
        <x:v>2023/2023_EN_Matematica_Rezerva_Examen_Barem_05_LRO.md + .pdf</x:v>
      </x:c>
      <x:c r="P227" s="123" t="str"/>
    </x:row>
    <x:row r="228">
      <x:c r="A228" s="118" t="n">
        <x:v>222</x:v>
      </x:c>
      <x:c r="B228" s="119" t="n">
        <x:v>2023</x:v>
      </x:c>
      <x:c r="C228" s="119" t="str">
        <x:v>Simulare</x:v>
      </x:c>
      <x:c r="D228" s="119" t="str">
        <x:v>2023 EN Matematică Simulare Subiect</x:v>
      </x:c>
      <x:c r="E228" s="120" t="str">
        <x:v>Neînceput</x:v>
      </x:c>
      <x:c r="F228" s="120" t="str">
        <x:v>Normal</x:v>
      </x:c>
      <x:c r="G228" s="121" t="n">
        <x:f>IF($E228="Amânat",0,Setari!$B$6)</x:f>
        <x:v>20</x:v>
      </x:c>
      <x:c r="H228" s="121" t="n">
        <x:f>IF($E228="Amânat",0,Setari!$B$7)</x:f>
        <x:v>15</x:v>
      </x:c>
      <x:c r="I228" s="121" t="n">
        <x:f>IF($E228="Amânat",0,Setari!$B$8)</x:f>
        <x:v>8</x:v>
      </x:c>
      <x:c r="J228" s="121" t="n">
        <x:f>IF($E228="Amânat",0,Setari!$B$9)</x:f>
        <x:v>5</x:v>
      </x:c>
      <x:c r="K228" s="121" t="n">
        <x:f>SUM(G228:J228)</x:f>
        <x:v>48</x:v>
      </x:c>
      <x:c r="L228" s="122" t="n">
        <x:f>K228/60</x:f>
        <x:v>0.8</x:v>
      </x:c>
      <x:c r="M228" s="119" t="str">
        <x:v>2023/2023_EN_Matematica_Simulare_Subiect_LRO.md</x:v>
      </x:c>
      <x:c r="N228" s="119" t="str">
        <x:v>2023/2023_EN_Matematica_Simulare_Subiect_LRO.pdf</x:v>
      </x:c>
      <x:c r="O228" s="119" t="str">
        <x:v>2023/2023_EN_Matematica_Simulare_Barem_LRO.md + .pdf</x:v>
      </x:c>
      <x:c r="P228" s="123" t="str"/>
    </x:row>
    <x:row r="229">
      <x:c r="A229" s="118" t="n">
        <x:v>223</x:v>
      </x:c>
      <x:c r="B229" s="119" t="n">
        <x:v>2024</x:v>
      </x:c>
      <x:c r="C229" s="119" t="str">
        <x:v>Examen</x:v>
      </x:c>
      <x:c r="D229" s="119" t="str">
        <x:v>2024 EN Matematică Examen Subiect 07</x:v>
      </x:c>
      <x:c r="E229" s="120" t="str">
        <x:v>Neînceput</x:v>
      </x:c>
      <x:c r="F229" s="120" t="str">
        <x:v>Normal</x:v>
      </x:c>
      <x:c r="G229" s="121" t="n">
        <x:f>IF($E229="Amânat",0,Setari!$B$6)</x:f>
        <x:v>20</x:v>
      </x:c>
      <x:c r="H229" s="121" t="n">
        <x:f>IF($E229="Amânat",0,Setari!$B$7)</x:f>
        <x:v>15</x:v>
      </x:c>
      <x:c r="I229" s="121" t="n">
        <x:f>IF($E229="Amânat",0,Setari!$B$8)</x:f>
        <x:v>8</x:v>
      </x:c>
      <x:c r="J229" s="121" t="n">
        <x:f>IF($E229="Amânat",0,Setari!$B$9)</x:f>
        <x:v>5</x:v>
      </x:c>
      <x:c r="K229" s="121" t="n">
        <x:f>SUM(G229:J229)</x:f>
        <x:v>48</x:v>
      </x:c>
      <x:c r="L229" s="122" t="n">
        <x:f>K229/60</x:f>
        <x:v>0.8</x:v>
      </x:c>
      <x:c r="M229" s="119" t="str">
        <x:v>2024/2024_EN_Matematica_Examen_Subiect_07_LRO.md</x:v>
      </x:c>
      <x:c r="N229" s="119" t="str">
        <x:v>2024/2024_EN_Matematica_Examen_Subiect_07_LRO.pdf</x:v>
      </x:c>
      <x:c r="O229" s="119" t="str">
        <x:v>2024/2024_EN_Matematica_Examen_Barem_07_LRO.md + .pdf</x:v>
      </x:c>
      <x:c r="P229" s="123" t="str"/>
    </x:row>
    <x:row r="230">
      <x:c r="A230" s="118" t="n">
        <x:v>224</x:v>
      </x:c>
      <x:c r="B230" s="119" t="n">
        <x:v>2024</x:v>
      </x:c>
      <x:c r="C230" s="119" t="str">
        <x:v>Model</x:v>
      </x:c>
      <x:c r="D230" s="119" t="str">
        <x:v>2024 EN Matematică Model Subiect</x:v>
      </x:c>
      <x:c r="E230" s="120" t="str">
        <x:v>Neînceput</x:v>
      </x:c>
      <x:c r="F230" s="120" t="str">
        <x:v>Normal</x:v>
      </x:c>
      <x:c r="G230" s="121" t="n">
        <x:f>IF($E230="Amânat",0,Setari!$B$6)</x:f>
        <x:v>20</x:v>
      </x:c>
      <x:c r="H230" s="121" t="n">
        <x:f>IF($E230="Amânat",0,Setari!$B$7)</x:f>
        <x:v>15</x:v>
      </x:c>
      <x:c r="I230" s="121" t="n">
        <x:f>IF($E230="Amânat",0,Setari!$B$8)</x:f>
        <x:v>8</x:v>
      </x:c>
      <x:c r="J230" s="121" t="n">
        <x:f>IF($E230="Amânat",0,Setari!$B$9)</x:f>
        <x:v>5</x:v>
      </x:c>
      <x:c r="K230" s="121" t="n">
        <x:f>SUM(G230:J230)</x:f>
        <x:v>48</x:v>
      </x:c>
      <x:c r="L230" s="122" t="n">
        <x:f>K230/60</x:f>
        <x:v>0.8</x:v>
      </x:c>
      <x:c r="M230" s="119" t="str">
        <x:v>2024/2024_EN_Matematica_Model_Subiect_LRO.md</x:v>
      </x:c>
      <x:c r="N230" s="119" t="str">
        <x:v>2024/2024_EN_Matematica_Model_Subiect_LRO.pdf</x:v>
      </x:c>
      <x:c r="O230" s="119" t="str">
        <x:v>2024/2024_EN_Matematica_Model_Barem_LRO.md + .pdf</x:v>
      </x:c>
      <x:c r="P230" s="123" t="str"/>
    </x:row>
    <x:row r="231">
      <x:c r="A231" s="118" t="n">
        <x:v>225</x:v>
      </x:c>
      <x:c r="B231" s="119" t="n">
        <x:v>2024</x:v>
      </x:c>
      <x:c r="C231" s="119" t="str">
        <x:v>Rezervă</x:v>
      </x:c>
      <x:c r="D231" s="119" t="str">
        <x:v>2024 EN Matematică Rezerva Examen Subiect 02</x:v>
      </x:c>
      <x:c r="E231" s="120" t="str">
        <x:v>Neînceput</x:v>
      </x:c>
      <x:c r="F231" s="120" t="str">
        <x:v>Normal</x:v>
      </x:c>
      <x:c r="G231" s="121" t="n">
        <x:f>IF($E231="Amânat",0,Setari!$B$6)</x:f>
        <x:v>20</x:v>
      </x:c>
      <x:c r="H231" s="121" t="n">
        <x:f>IF($E231="Amânat",0,Setari!$B$7)</x:f>
        <x:v>15</x:v>
      </x:c>
      <x:c r="I231" s="121" t="n">
        <x:f>IF($E231="Amânat",0,Setari!$B$8)</x:f>
        <x:v>8</x:v>
      </x:c>
      <x:c r="J231" s="121" t="n">
        <x:f>IF($E231="Amânat",0,Setari!$B$9)</x:f>
        <x:v>5</x:v>
      </x:c>
      <x:c r="K231" s="121" t="n">
        <x:f>SUM(G231:J231)</x:f>
        <x:v>48</x:v>
      </x:c>
      <x:c r="L231" s="122" t="n">
        <x:f>K231/60</x:f>
        <x:v>0.8</x:v>
      </x:c>
      <x:c r="M231" s="119" t="str">
        <x:v>2024/2024_EN_Matematica_Rezerva_Examen_Subiect_02_LRO.md</x:v>
      </x:c>
      <x:c r="N231" s="119" t="str">
        <x:v>2024/2024_EN_Matematica_Rezerva_Examen_Subiect_02_LRO.pdf</x:v>
      </x:c>
      <x:c r="O231" s="119" t="str">
        <x:v>2024/2024_EN_Matematica_Rezerva_Examen_Barem_02_LRO.md + .pdf</x:v>
      </x:c>
      <x:c r="P231" s="123" t="str"/>
    </x:row>
    <x:row r="232">
      <x:c r="A232" s="118" t="n">
        <x:v>226</x:v>
      </x:c>
      <x:c r="B232" s="119" t="n">
        <x:v>2024</x:v>
      </x:c>
      <x:c r="C232" s="119" t="str">
        <x:v>Simulare</x:v>
      </x:c>
      <x:c r="D232" s="119" t="str">
        <x:v>2024 EN Matematică Simulare Subiect</x:v>
      </x:c>
      <x:c r="E232" s="120" t="str">
        <x:v>Neînceput</x:v>
      </x:c>
      <x:c r="F232" s="120" t="str">
        <x:v>Normal</x:v>
      </x:c>
      <x:c r="G232" s="121" t="n">
        <x:f>IF($E232="Amânat",0,Setari!$B$6)</x:f>
        <x:v>20</x:v>
      </x:c>
      <x:c r="H232" s="121" t="n">
        <x:f>IF($E232="Amânat",0,Setari!$B$7)</x:f>
        <x:v>15</x:v>
      </x:c>
      <x:c r="I232" s="121" t="n">
        <x:f>IF($E232="Amânat",0,Setari!$B$8)</x:f>
        <x:v>8</x:v>
      </x:c>
      <x:c r="J232" s="121" t="n">
        <x:f>IF($E232="Amânat",0,Setari!$B$9)</x:f>
        <x:v>5</x:v>
      </x:c>
      <x:c r="K232" s="121" t="n">
        <x:f>SUM(G232:J232)</x:f>
        <x:v>48</x:v>
      </x:c>
      <x:c r="L232" s="122" t="n">
        <x:f>K232/60</x:f>
        <x:v>0.8</x:v>
      </x:c>
      <x:c r="M232" s="119" t="str">
        <x:v>2024/2024_EN_Matematica_Simulare_Subiect_LRO.md</x:v>
      </x:c>
      <x:c r="N232" s="119" t="str">
        <x:v>2024/2024_EN_Matematica_Simulare_Subiect_LRO.pdf</x:v>
      </x:c>
      <x:c r="O232" s="119" t="str">
        <x:v>2024/2024_EN_Matematica_Simulare_Barem_LRO.md + .pdf</x:v>
      </x:c>
      <x:c r="P232" s="123" t="str"/>
    </x:row>
    <x:row r="233">
      <x:c r="A233" s="118" t="n">
        <x:v>227</x:v>
      </x:c>
      <x:c r="B233" s="119" t="n">
        <x:v>2025</x:v>
      </x:c>
      <x:c r="C233" s="119" t="str">
        <x:v>Examen</x:v>
      </x:c>
      <x:c r="D233" s="119" t="str">
        <x:v>2025 EN Matematică Examen Subiect 07</x:v>
      </x:c>
      <x:c r="E233" s="120" t="str">
        <x:v>Neînceput</x:v>
      </x:c>
      <x:c r="F233" s="120" t="str">
        <x:v>Normal</x:v>
      </x:c>
      <x:c r="G233" s="121" t="n">
        <x:f>IF($E233="Amânat",0,Setari!$B$6)</x:f>
        <x:v>20</x:v>
      </x:c>
      <x:c r="H233" s="121" t="n">
        <x:f>IF($E233="Amânat",0,Setari!$B$7)</x:f>
        <x:v>15</x:v>
      </x:c>
      <x:c r="I233" s="121" t="n">
        <x:f>IF($E233="Amânat",0,Setari!$B$8)</x:f>
        <x:v>8</x:v>
      </x:c>
      <x:c r="J233" s="121" t="n">
        <x:f>IF($E233="Amânat",0,Setari!$B$9)</x:f>
        <x:v>5</x:v>
      </x:c>
      <x:c r="K233" s="121" t="n">
        <x:f>SUM(G233:J233)</x:f>
        <x:v>48</x:v>
      </x:c>
      <x:c r="L233" s="122" t="n">
        <x:f>K233/60</x:f>
        <x:v>0.8</x:v>
      </x:c>
      <x:c r="M233" s="119" t="str">
        <x:v>2025/2025_EN_Matematica_Examen_Subiect_07_LRO.md</x:v>
      </x:c>
      <x:c r="N233" s="119" t="str">
        <x:v>2025/2025_EN_Matematica_Examen_Subiect_07_LRO.pdf</x:v>
      </x:c>
      <x:c r="O233" s="119" t="str">
        <x:v>2025/2025_EN_Matematica_Examen_Barem_07_LRO.md + .pdf</x:v>
      </x:c>
      <x:c r="P233" s="123" t="str"/>
    </x:row>
    <x:row r="234">
      <x:c r="A234" s="118" t="n">
        <x:v>228</x:v>
      </x:c>
      <x:c r="B234" s="119" t="n">
        <x:v>2025</x:v>
      </x:c>
      <x:c r="C234" s="119" t="str">
        <x:v>Model</x:v>
      </x:c>
      <x:c r="D234" s="119" t="str">
        <x:v>2025 EN Matematică Model Subiect</x:v>
      </x:c>
      <x:c r="E234" s="120" t="str">
        <x:v>Neînceput</x:v>
      </x:c>
      <x:c r="F234" s="120" t="str">
        <x:v>Normal</x:v>
      </x:c>
      <x:c r="G234" s="121" t="n">
        <x:f>IF($E234="Amânat",0,Setari!$B$6)</x:f>
        <x:v>20</x:v>
      </x:c>
      <x:c r="H234" s="121" t="n">
        <x:f>IF($E234="Amânat",0,Setari!$B$7)</x:f>
        <x:v>15</x:v>
      </x:c>
      <x:c r="I234" s="121" t="n">
        <x:f>IF($E234="Amânat",0,Setari!$B$8)</x:f>
        <x:v>8</x:v>
      </x:c>
      <x:c r="J234" s="121" t="n">
        <x:f>IF($E234="Amânat",0,Setari!$B$9)</x:f>
        <x:v>5</x:v>
      </x:c>
      <x:c r="K234" s="121" t="n">
        <x:f>SUM(G234:J234)</x:f>
        <x:v>48</x:v>
      </x:c>
      <x:c r="L234" s="122" t="n">
        <x:f>K234/60</x:f>
        <x:v>0.8</x:v>
      </x:c>
      <x:c r="M234" s="119" t="str">
        <x:v>2025/2025_EN_Matematica_Model_Subiect_LRO.md</x:v>
      </x:c>
      <x:c r="N234" s="119" t="str">
        <x:v>2025/2025_EN_Matematica_Model_Subiect_LRO.pdf</x:v>
      </x:c>
      <x:c r="O234" s="119" t="str">
        <x:v>2025/2025_EN_Matematica_Model_Barem_LRO.md + .pdf</x:v>
      </x:c>
      <x:c r="P234" s="123" t="str"/>
    </x:row>
    <x:row r="235">
      <x:c r="A235" s="118" t="n">
        <x:v>229</x:v>
      </x:c>
      <x:c r="B235" s="119" t="n">
        <x:v>2025</x:v>
      </x:c>
      <x:c r="C235" s="119" t="str">
        <x:v>Rezervă</x:v>
      </x:c>
      <x:c r="D235" s="119" t="str">
        <x:v>2025 EN Matematică Rezerva Examen Subiect 02</x:v>
      </x:c>
      <x:c r="E235" s="120" t="str">
        <x:v>Neînceput</x:v>
      </x:c>
      <x:c r="F235" s="120" t="str">
        <x:v>Normal</x:v>
      </x:c>
      <x:c r="G235" s="121" t="n">
        <x:f>IF($E235="Amânat",0,Setari!$B$6)</x:f>
        <x:v>20</x:v>
      </x:c>
      <x:c r="H235" s="121" t="n">
        <x:f>IF($E235="Amânat",0,Setari!$B$7)</x:f>
        <x:v>15</x:v>
      </x:c>
      <x:c r="I235" s="121" t="n">
        <x:f>IF($E235="Amânat",0,Setari!$B$8)</x:f>
        <x:v>8</x:v>
      </x:c>
      <x:c r="J235" s="121" t="n">
        <x:f>IF($E235="Amânat",0,Setari!$B$9)</x:f>
        <x:v>5</x:v>
      </x:c>
      <x:c r="K235" s="121" t="n">
        <x:f>SUM(G235:J235)</x:f>
        <x:v>48</x:v>
      </x:c>
      <x:c r="L235" s="122" t="n">
        <x:f>K235/60</x:f>
        <x:v>0.8</x:v>
      </x:c>
      <x:c r="M235" s="119" t="str">
        <x:v>2025/2025_EN_Matematica_Rezerva_Examen_Subiect_02_LRO.md</x:v>
      </x:c>
      <x:c r="N235" s="119" t="str">
        <x:v>2025/2025_EN_Matematica_Rezerva_Examen_Subiect_02_LRO.pdf</x:v>
      </x:c>
      <x:c r="O235" s="119" t="str">
        <x:v>2025/2025_EN_Matematica_Rezerva_Examen_Barem_02_LRO.md + .pdf</x:v>
      </x:c>
      <x:c r="P235" s="123" t="str"/>
    </x:row>
    <x:row r="236">
      <x:c r="A236" s="118" t="n">
        <x:v>230</x:v>
      </x:c>
      <x:c r="B236" s="119" t="n">
        <x:v>2025</x:v>
      </x:c>
      <x:c r="C236" s="119" t="str">
        <x:v>Sesiunea specială</x:v>
      </x:c>
      <x:c r="D236" s="119" t="str">
        <x:v>2025 EN Matematică Sesiunea Speciala Subiect 03</x:v>
      </x:c>
      <x:c r="E236" s="120" t="str">
        <x:v>Neînceput</x:v>
      </x:c>
      <x:c r="F236" s="120" t="str">
        <x:v>Normal</x:v>
      </x:c>
      <x:c r="G236" s="121" t="n">
        <x:f>IF($E236="Amânat",0,Setari!$B$6)</x:f>
        <x:v>20</x:v>
      </x:c>
      <x:c r="H236" s="121" t="n">
        <x:f>IF($E236="Amânat",0,Setari!$B$7)</x:f>
        <x:v>15</x:v>
      </x:c>
      <x:c r="I236" s="121" t="n">
        <x:f>IF($E236="Amânat",0,Setari!$B$8)</x:f>
        <x:v>8</x:v>
      </x:c>
      <x:c r="J236" s="121" t="n">
        <x:f>IF($E236="Amânat",0,Setari!$B$9)</x:f>
        <x:v>5</x:v>
      </x:c>
      <x:c r="K236" s="121" t="n">
        <x:f>SUM(G236:J236)</x:f>
        <x:v>48</x:v>
      </x:c>
      <x:c r="L236" s="122" t="n">
        <x:f>K236/60</x:f>
        <x:v>0.8</x:v>
      </x:c>
      <x:c r="M236" s="119" t="str">
        <x:v>2025/2025_EN_Matematica_Sesiunea_Speciala_Subiect_03_LRO.md</x:v>
      </x:c>
      <x:c r="N236" s="119" t="str">
        <x:v>2025/2025_EN_Matematica_Sesiunea_Speciala_Subiect_03_LRO.pdf</x:v>
      </x:c>
      <x:c r="O236" s="119" t="str">
        <x:v>2025/2025_EN_Matematica_Sesiunea_Speciala_Barem_03_LRO.md + .pdf</x:v>
      </x:c>
      <x:c r="P236" s="123" t="str"/>
    </x:row>
    <x:row r="237">
      <x:c r="A237" s="118" t="n">
        <x:v>231</x:v>
      </x:c>
      <x:c r="B237" s="119" t="n">
        <x:v>2025</x:v>
      </x:c>
      <x:c r="C237" s="119" t="str">
        <x:v>Simulare</x:v>
      </x:c>
      <x:c r="D237" s="119" t="str">
        <x:v>2025 EN Matematică Simulare Subiect</x:v>
      </x:c>
      <x:c r="E237" s="120" t="str">
        <x:v>Neînceput</x:v>
      </x:c>
      <x:c r="F237" s="120" t="str">
        <x:v>Normal</x:v>
      </x:c>
      <x:c r="G237" s="121" t="n">
        <x:f>IF($E237="Amânat",0,Setari!$B$6)</x:f>
        <x:v>20</x:v>
      </x:c>
      <x:c r="H237" s="121" t="n">
        <x:f>IF($E237="Amânat",0,Setari!$B$7)</x:f>
        <x:v>15</x:v>
      </x:c>
      <x:c r="I237" s="121" t="n">
        <x:f>IF($E237="Amânat",0,Setari!$B$8)</x:f>
        <x:v>8</x:v>
      </x:c>
      <x:c r="J237" s="121" t="n">
        <x:f>IF($E237="Amânat",0,Setari!$B$9)</x:f>
        <x:v>5</x:v>
      </x:c>
      <x:c r="K237" s="121" t="n">
        <x:f>SUM(G237:J237)</x:f>
        <x:v>48</x:v>
      </x:c>
      <x:c r="L237" s="122" t="n">
        <x:f>K237/60</x:f>
        <x:v>0.8</x:v>
      </x:c>
      <x:c r="M237" s="119" t="str">
        <x:v>2025/2025_EN_Matematica_Simulare_Subiect_LRO.md</x:v>
      </x:c>
      <x:c r="N237" s="119" t="str">
        <x:v>2025/2025_EN_Matematica_Simulare_Subiect_LRO.pdf</x:v>
      </x:c>
      <x:c r="O237" s="119" t="str">
        <x:v>2025/2025_EN_Matematica_Simulare_Barem_LRO.md + .pdf</x:v>
      </x:c>
      <x:c r="P237" s="123" t="str"/>
    </x:row>
    <x:row r="238">
      <x:c r="A238" s="118" t="n">
        <x:v>232</x:v>
      </x:c>
      <x:c r="B238" s="119" t="n">
        <x:v>2026</x:v>
      </x:c>
      <x:c r="C238" s="119" t="str">
        <x:v>Examen</x:v>
      </x:c>
      <x:c r="D238" s="119" t="str">
        <x:v>2026 EN Matematică Examen Subiect 01</x:v>
      </x:c>
      <x:c r="E238" s="120" t="str">
        <x:v>Neînceput</x:v>
      </x:c>
      <x:c r="F238" s="120" t="str">
        <x:v>Normal</x:v>
      </x:c>
      <x:c r="G238" s="121" t="n">
        <x:f>IF($E238="Amânat",0,Setari!$B$6)</x:f>
        <x:v>20</x:v>
      </x:c>
      <x:c r="H238" s="121" t="n">
        <x:f>IF($E238="Amânat",0,Setari!$B$7)</x:f>
        <x:v>15</x:v>
      </x:c>
      <x:c r="I238" s="121" t="n">
        <x:f>IF($E238="Amânat",0,Setari!$B$8)</x:f>
        <x:v>8</x:v>
      </x:c>
      <x:c r="J238" s="121" t="n">
        <x:f>IF($E238="Amânat",0,Setari!$B$9)</x:f>
        <x:v>5</x:v>
      </x:c>
      <x:c r="K238" s="121" t="n">
        <x:f>SUM(G238:J238)</x:f>
        <x:v>48</x:v>
      </x:c>
      <x:c r="L238" s="122" t="n">
        <x:f>K238/60</x:f>
        <x:v>0.8</x:v>
      </x:c>
      <x:c r="M238" s="119" t="str">
        <x:v>2026/2026_EN_Matematica_Examen_Subiect_01_LRO.md</x:v>
      </x:c>
      <x:c r="N238" s="119" t="str">
        <x:v>2026/2026_EN_Matematica_Examen_Subiect_01_LRO.pdf</x:v>
      </x:c>
      <x:c r="O238" s="119" t="str">
        <x:v>2026/2026_EN_Matematica_Examen_Barem_01_LRO.md + .pdf</x:v>
      </x:c>
      <x:c r="P238" s="123" t="str"/>
    </x:row>
    <x:row r="239">
      <x:c r="A239" s="118" t="n">
        <x:v>233</x:v>
      </x:c>
      <x:c r="B239" s="119" t="n">
        <x:v>2026</x:v>
      </x:c>
      <x:c r="C239" s="119" t="str">
        <x:v>Model</x:v>
      </x:c>
      <x:c r="D239" s="119" t="str">
        <x:v>2026 EN Matematică Model Subiect</x:v>
      </x:c>
      <x:c r="E239" s="120" t="str">
        <x:v>Neînceput</x:v>
      </x:c>
      <x:c r="F239" s="120" t="str">
        <x:v>Normal</x:v>
      </x:c>
      <x:c r="G239" s="121" t="n">
        <x:f>IF($E239="Amânat",0,Setari!$B$6)</x:f>
        <x:v>20</x:v>
      </x:c>
      <x:c r="H239" s="121" t="n">
        <x:f>IF($E239="Amânat",0,Setari!$B$7)</x:f>
        <x:v>15</x:v>
      </x:c>
      <x:c r="I239" s="121" t="n">
        <x:f>IF($E239="Amânat",0,Setari!$B$8)</x:f>
        <x:v>8</x:v>
      </x:c>
      <x:c r="J239" s="121" t="n">
        <x:f>IF($E239="Amânat",0,Setari!$B$9)</x:f>
        <x:v>5</x:v>
      </x:c>
      <x:c r="K239" s="121" t="n">
        <x:f>SUM(G239:J239)</x:f>
        <x:v>48</x:v>
      </x:c>
      <x:c r="L239" s="122" t="n">
        <x:f>K239/60</x:f>
        <x:v>0.8</x:v>
      </x:c>
      <x:c r="M239" s="119" t="str">
        <x:v>2026/2026_EN_Matematica_Model_Subiect_LRO.md</x:v>
      </x:c>
      <x:c r="N239" s="119" t="str">
        <x:v>2026/2026_EN_Matematica_Model_Subiect_LRO.pdf</x:v>
      </x:c>
      <x:c r="O239" s="119" t="str">
        <x:v>2026/2026_EN_Matematica_Model_Barem_LRO.md + .pdf</x:v>
      </x:c>
      <x:c r="P239" s="123" t="str"/>
    </x:row>
    <x:row r="240">
      <x:c r="A240" s="118" t="n">
        <x:v>234</x:v>
      </x:c>
      <x:c r="B240" s="119" t="n">
        <x:v>2026</x:v>
      </x:c>
      <x:c r="C240" s="119" t="str">
        <x:v>Rezervă</x:v>
      </x:c>
      <x:c r="D240" s="119" t="str">
        <x:v>2026 EN Matematică Rezerva Examen Subiect 05</x:v>
      </x:c>
      <x:c r="E240" s="120" t="str">
        <x:v>Neînceput</x:v>
      </x:c>
      <x:c r="F240" s="120" t="str">
        <x:v>Normal</x:v>
      </x:c>
      <x:c r="G240" s="121" t="n">
        <x:f>IF($E240="Amânat",0,Setari!$B$6)</x:f>
        <x:v>20</x:v>
      </x:c>
      <x:c r="H240" s="121" t="n">
        <x:f>IF($E240="Amânat",0,Setari!$B$7)</x:f>
        <x:v>15</x:v>
      </x:c>
      <x:c r="I240" s="121" t="n">
        <x:f>IF($E240="Amânat",0,Setari!$B$8)</x:f>
        <x:v>8</x:v>
      </x:c>
      <x:c r="J240" s="121" t="n">
        <x:f>IF($E240="Amânat",0,Setari!$B$9)</x:f>
        <x:v>5</x:v>
      </x:c>
      <x:c r="K240" s="121" t="n">
        <x:f>SUM(G240:J240)</x:f>
        <x:v>48</x:v>
      </x:c>
      <x:c r="L240" s="122" t="n">
        <x:f>K240/60</x:f>
        <x:v>0.8</x:v>
      </x:c>
      <x:c r="M240" s="119" t="str">
        <x:v>2026/2026_EN_Matematica_Rezerva_Examen_Subiect_05_LRO.md</x:v>
      </x:c>
      <x:c r="N240" s="119" t="str">
        <x:v>2026/2026_EN_Matematica_Rezerva_Examen_Subiect_05_LRO.pdf</x:v>
      </x:c>
      <x:c r="O240" s="119" t="str">
        <x:v>2026/2026_EN_Matematica_Rezerva_Examen_Barem_05_LRO.md + .pdf</x:v>
      </x:c>
      <x:c r="P240" s="123" t="str"/>
    </x:row>
    <x:row r="241">
      <x:c r="A241" s="118" t="n">
        <x:v>235</x:v>
      </x:c>
      <x:c r="B241" s="119" t="n">
        <x:v>2026</x:v>
      </x:c>
      <x:c r="C241" s="119" t="str">
        <x:v>Simulare</x:v>
      </x:c>
      <x:c r="D241" s="119" t="str">
        <x:v>2026 EN Matematică Simulare Subiect</x:v>
      </x:c>
      <x:c r="E241" s="120" t="str">
        <x:v>Neînceput</x:v>
      </x:c>
      <x:c r="F241" s="120" t="str">
        <x:v>Normal</x:v>
      </x:c>
      <x:c r="G241" s="121" t="n">
        <x:f>IF($E241="Amânat",0,Setari!$B$6)</x:f>
        <x:v>20</x:v>
      </x:c>
      <x:c r="H241" s="121" t="n">
        <x:f>IF($E241="Amânat",0,Setari!$B$7)</x:f>
        <x:v>15</x:v>
      </x:c>
      <x:c r="I241" s="121" t="n">
        <x:f>IF($E241="Amânat",0,Setari!$B$8)</x:f>
        <x:v>8</x:v>
      </x:c>
      <x:c r="J241" s="121" t="n">
        <x:f>IF($E241="Amânat",0,Setari!$B$9)</x:f>
        <x:v>5</x:v>
      </x:c>
      <x:c r="K241" s="121" t="n">
        <x:f>SUM(G241:J241)</x:f>
        <x:v>48</x:v>
      </x:c>
      <x:c r="L241" s="122" t="n">
        <x:f>K241/60</x:f>
        <x:v>0.8</x:v>
      </x:c>
      <x:c r="M241" s="119" t="str">
        <x:v>2026/2026_EN_Matematica_Simulare_Subiect_LRO.md</x:v>
      </x:c>
      <x:c r="N241" s="119" t="str">
        <x:v>2026/2026_EN_Matematica_Simulare_Subiect_LRO.pdf</x:v>
      </x:c>
      <x:c r="O241" s="119" t="str">
        <x:v>2026/2026_EN_Matematica_Simulare_Barem_LRO.md + .pdf</x:v>
      </x:c>
      <x:c r="P241" s="123" t="str"/>
    </x:row>
    <x:row r="242">
      <x:c r="A242" s="124" t="n">
        <x:v>236</x:v>
      </x:c>
      <x:c r="B242" s="125" t="n">
        <x:v>2026</x:v>
      </x:c>
      <x:c r="C242" s="125" t="str">
        <x:v>Simulare 2</x:v>
      </x:c>
      <x:c r="D242" s="125" t="str">
        <x:v>2026 EN Matematică Simulare2 Subiect</x:v>
      </x:c>
      <x:c r="E242" s="126" t="str">
        <x:v>Neînceput</x:v>
      </x:c>
      <x:c r="F242" s="126" t="str">
        <x:v>Normal</x:v>
      </x:c>
      <x:c r="G242" s="127" t="n">
        <x:f>IF($E242="Amânat",0,Setari!$B$6)</x:f>
        <x:v>20</x:v>
      </x:c>
      <x:c r="H242" s="127" t="n">
        <x:f>IF($E242="Amânat",0,Setari!$B$7)</x:f>
        <x:v>15</x:v>
      </x:c>
      <x:c r="I242" s="127" t="n">
        <x:f>IF($E242="Amânat",0,Setari!$B$8)</x:f>
        <x:v>8</x:v>
      </x:c>
      <x:c r="J242" s="127" t="n">
        <x:f>IF($E242="Amânat",0,Setari!$B$9)</x:f>
        <x:v>5</x:v>
      </x:c>
      <x:c r="K242" s="127" t="n">
        <x:f>SUM(G242:J242)</x:f>
        <x:v>48</x:v>
      </x:c>
      <x:c r="L242" s="128" t="n">
        <x:f>K242/60</x:f>
        <x:v>0.8</x:v>
      </x:c>
      <x:c r="M242" s="125" t="str">
        <x:v>2026/2026_EN_Matematica_Simulare2_Subiect_LRO.md</x:v>
      </x:c>
      <x:c r="N242" s="125" t="str">
        <x:v>2026/2026_EN_Matematica_Simulare2_Subiect_LRO.pdf</x:v>
      </x:c>
      <x:c r="O242" s="125" t="str">
        <x:v>2026/2026_EN_Matematica_Simulare2_Barem_LRO.md + .pdf</x:v>
      </x:c>
      <x:c r="P242" s="129" t="str"/>
    </x:row>
  </x:sheetData>
  <x:mergeCells>
    <x:mergeCell ref="A2:P2"/>
    <x:mergeCell ref="A3:P3"/>
  </x:mergeCells>
  <x:conditionalFormatting sqref="E7:E242">
    <x:cfRule type="containsText" dxfId="0" priority="1" operator="containsText" text="Gata"/>
    <x:cfRule type="containsText" dxfId="1" priority="2" operator="containsText" text="Amânat"/>
  </x:conditionalFormatting>
  <x:dataValidations count="2">
    <x:dataValidation type="list" sqref="E7:E242">
      <x:formula1>"Neînceput,În lucru,Gata,Amânat"</x:formula1>
    </x:dataValidation>
    <x:dataValidation type="list" sqref="F7:F242">
      <x:formula1>"Ridicată,Normal,Joasă"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F2CC"/>
  </x:sheetPr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2">
      <x:c r="A2" s="96" t="str">
        <x:v>Setări și estimare de efort</x:v>
      </x:c>
      <x:c r="B2" s="96"/>
      <x:c r="C2" s="96"/>
      <x:c r="D2" s="96"/>
      <x:c r="E2" s="96"/>
      <x:c r="F2" s="96"/>
    </x:row>
    <x:row r="3">
      <x:c r="A3" s="98"/>
      <x:c r="B3" s="98"/>
      <x:c r="C3" s="98"/>
      <x:c r="D3" s="98"/>
      <x:c r="E3" s="98"/>
      <x:c r="F3" s="98"/>
    </x:row>
    <x:row r="4">
      <x:c r="A4" s="76" t="str">
        <x:v>Parametru</x:v>
      </x:c>
      <x:c r="B4" s="78" t="str">
        <x:v>Valoare</x:v>
      </x:c>
      <x:c r="C4" s="98"/>
      <x:c r="D4" s="98"/>
      <x:c r="E4" s="98"/>
      <x:c r="F4" s="98"/>
    </x:row>
    <x:row r="5">
      <x:c r="A5" s="101" t="str">
        <x:v>Data de referință</x:v>
      </x:c>
      <x:c r="B5" s="136" t="n">
        <x:v>46296</x:v>
      </x:c>
      <x:c r="C5" s="98"/>
      <x:c r="D5" s="98"/>
      <x:c r="E5" s="98"/>
      <x:c r="F5" s="98"/>
    </x:row>
    <x:row r="6">
      <x:c r="A6" s="101" t="str">
        <x:v>Filmarea unui subiect (minute)</x:v>
      </x:c>
      <x:c r="B6" s="137" t="n">
        <x:v>20</x:v>
      </x:c>
      <x:c r="C6" s="98"/>
      <x:c r="D6" s="98"/>
      <x:c r="E6" s="98"/>
      <x:c r="F6" s="98"/>
    </x:row>
    <x:row r="7">
      <x:c r="A7" s="101" t="str">
        <x:v>Editarea unui subiect (minute)</x:v>
      </x:c>
      <x:c r="B7" s="137" t="n">
        <x:v>15</x:v>
      </x:c>
      <x:c r="C7" s="98"/>
      <x:c r="D7" s="98"/>
      <x:c r="E7" s="98"/>
      <x:c r="F7" s="98"/>
    </x:row>
    <x:row r="8">
      <x:c r="A8" s="101" t="str">
        <x:v>Publicare + metadata (minute)</x:v>
      </x:c>
      <x:c r="B8" s="137" t="n">
        <x:v>8</x:v>
      </x:c>
      <x:c r="C8" s="98"/>
      <x:c r="D8" s="98"/>
      <x:c r="E8" s="98"/>
      <x:c r="F8" s="98"/>
    </x:row>
    <x:row r="9">
      <x:c r="A9" s="101" t="str">
        <x:v>Verificare finală / QA (minute)</x:v>
      </x:c>
      <x:c r="B9" s="137" t="n">
        <x:v>5</x:v>
      </x:c>
      <x:c r="C9" s="98"/>
      <x:c r="D9" s="98"/>
      <x:c r="E9" s="98"/>
      <x:c r="F9" s="98"/>
    </x:row>
    <x:row r="10">
      <x:c r="A10" s="101" t="str">
        <x:v>Ore productive disponibile / săptămână</x:v>
      </x:c>
      <x:c r="B10" s="137" t="n">
        <x:v>20</x:v>
      </x:c>
      <x:c r="C10" s="98"/>
      <x:c r="D10" s="98"/>
      <x:c r="E10" s="98"/>
      <x:c r="F10" s="98"/>
    </x:row>
    <x:row r="11">
      <x:c r="A11" s="101" t="str">
        <x:v>Minute totale / subiect</x:v>
      </x:c>
      <x:c r="B11" s="138" t="n">
        <x:f>SUM(B6:B9)</x:f>
        <x:v>48</x:v>
      </x:c>
      <x:c r="C11" s="98"/>
      <x:c r="D11" s="98"/>
      <x:c r="E11" s="98"/>
      <x:c r="F11" s="98"/>
    </x:row>
    <x:row r="12">
      <x:c r="A12" s="101" t="str">
        <x:v>Număr subiecte</x:v>
      </x:c>
      <x:c r="B12" s="139" t="n">
        <x:f>COUNTA(Tracker!$A$7:$A$242)</x:f>
        <x:v>236</x:v>
      </x:c>
      <x:c r="C12" s="98"/>
      <x:c r="D12" s="98"/>
      <x:c r="E12" s="98"/>
      <x:c r="F12" s="98"/>
    </x:row>
    <x:row r="13">
      <x:c r="A13" s="107" t="str">
        <x:v>Ore totale estimate</x:v>
      </x:c>
      <x:c r="B13" s="140" t="n">
        <x:f>B11*B12/60</x:f>
        <x:v>188.8</x:v>
      </x:c>
      <x:c r="C13" s="98"/>
      <x:c r="D13" s="98"/>
      <x:c r="E13" s="98"/>
      <x:c r="F13" s="98"/>
    </x:row>
    <x:row r="14">
      <x:c r="A14" s="98" t="str">
        <x:v>Săptămâni estimate</x:v>
      </x:c>
      <x:c r="B14" s="102" t="n">
        <x:f>B13/B10</x:f>
        <x:v>9.440000000000001</x:v>
      </x:c>
      <x:c r="C14" s="98"/>
      <x:c r="D14" s="98"/>
      <x:c r="E14" s="98"/>
      <x:c r="F14" s="98"/>
    </x:row>
    <x:row r="15">
      <x:c r="A15" s="98"/>
      <x:c r="B15" s="98"/>
      <x:c r="C15" s="98"/>
      <x:c r="D15" s="98"/>
      <x:c r="E15" s="98"/>
      <x:c r="F15" s="98"/>
    </x:row>
    <x:row r="16">
      <x:c r="A16" s="130" t="str">
        <x:v>Cum folosești fișierul: schimbă minutele galbene, apoi actualizează statusul pe Tracker. Toate formulele de efort se recalculează automat.</x:v>
      </x:c>
      <x:c r="B16" s="130"/>
      <x:c r="C16" s="130"/>
      <x:c r="D16" s="130"/>
      <x:c r="E16" s="130"/>
      <x:c r="F16" s="130"/>
    </x:row>
  </x:sheetData>
  <x:mergeCells>
    <x:mergeCell ref="A2:F2"/>
    <x:mergeCell ref="A16:F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2F2F2"/>
  </x:sheetPr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46" hidden="0" customWidth="1"/>
  </x:cols>
  <x:sheetData>
    <x:row r="2">
      <x:c r="A2" s="96" t="str">
        <x:v>Inventar și delimitarea scopului</x:v>
      </x:c>
      <x:c r="B2" s="96"/>
      <x:c r="C2" s="96"/>
      <x:c r="D2" s="96"/>
      <x:c r="E2" s="96"/>
      <x:c r="F2" s="96"/>
    </x:row>
    <x:row r="3">
      <x:c r="A3" s="98"/>
      <x:c r="B3" s="98"/>
      <x:c r="C3" s="98"/>
      <x:c r="D3" s="98"/>
      <x:c r="E3" s="98"/>
      <x:c r="F3" s="98"/>
    </x:row>
    <x:row r="4">
      <x:c r="A4" s="75" t="str">
        <x:v>Categorie</x:v>
      </x:c>
      <x:c r="B4" s="75" t="str">
        <x:v>Fișiere / subiecte</x:v>
      </x:c>
      <x:c r="C4" s="98"/>
      <x:c r="D4" s="98"/>
      <x:c r="E4" s="98"/>
      <x:c r="F4" s="98"/>
    </x:row>
    <x:row r="5">
      <x:c r="A5" s="99" t="str">
        <x:v>Subiecte logice incluse</x:v>
      </x:c>
      <x:c r="B5" s="146" t="n">
        <x:v>236</x:v>
      </x:c>
      <x:c r="C5" s="98"/>
      <x:c r="D5" s="98"/>
      <x:c r="E5" s="98"/>
      <x:c r="F5" s="98"/>
    </x:row>
    <x:row r="6">
      <x:c r="A6" s="101" t="str">
        <x:v>Fișiere subiect incluse (MD + PDF)</x:v>
      </x:c>
      <x:c r="B6" s="147" t="n">
        <x:v>472</x:v>
      </x:c>
      <x:c r="C6" s="98"/>
      <x:c r="D6" s="98"/>
      <x:c r="E6" s="98"/>
      <x:c r="F6" s="98"/>
    </x:row>
    <x:row r="7">
      <x:c r="A7" s="101" t="str">
        <x:v>Bareme logice excluse din filmare</x:v>
      </x:c>
      <x:c r="B7" s="147" t="n">
        <x:v>136</x:v>
      </x:c>
      <x:c r="C7" s="98"/>
      <x:c r="D7" s="98"/>
      <x:c r="E7" s="98"/>
      <x:c r="F7" s="98"/>
    </x:row>
    <x:row r="8">
      <x:c r="A8" s="101" t="str">
        <x:v>Fișiere barem excluse (MD + PDF)</x:v>
      </x:c>
      <x:c r="B8" s="147" t="n">
        <x:v>272</x:v>
      </x:c>
      <x:c r="C8" s="98"/>
      <x:c r="D8" s="98"/>
      <x:c r="E8" s="98"/>
      <x:c r="F8" s="98"/>
    </x:row>
    <x:row r="9">
      <x:c r="A9" s="107" t="str">
        <x:v>Soluții / materiale auxiliare excluse</x:v>
      </x:c>
      <x:c r="B9" s="148" t="n">
        <x:v>2</x:v>
      </x:c>
      <x:c r="C9" s="98"/>
      <x:c r="D9" s="98"/>
      <x:c r="E9" s="98"/>
      <x:c r="F9" s="98"/>
    </x:row>
    <x:row r="10">
      <x:c r="A10" s="98"/>
      <x:c r="B10" s="98"/>
      <x:c r="C10" s="98"/>
      <x:c r="D10" s="98"/>
      <x:c r="E10" s="98"/>
      <x:c r="F10" s="98"/>
    </x:row>
    <x:row r="11">
      <x:c r="A11" s="98"/>
      <x:c r="B11" s="98"/>
      <x:c r="C11" s="98"/>
      <x:c r="D11" s="98"/>
      <x:c r="E11" s="98"/>
      <x:c r="F11" s="98"/>
    </x:row>
    <x:row r="12">
      <x:c r="A12" s="76" t="str">
        <x:v>An</x:v>
      </x:c>
      <x:c r="B12" s="77" t="str">
        <x:v>Subiecte incluse</x:v>
      </x:c>
      <x:c r="C12" s="77" t="str">
        <x:v>Fișiere MD</x:v>
      </x:c>
      <x:c r="D12" s="77" t="str">
        <x:v>Fișiere PDF</x:v>
      </x:c>
      <x:c r="E12" s="77" t="str">
        <x:v>Barem disponibil</x:v>
      </x:c>
      <x:c r="F12" s="78" t="str">
        <x:v>Notă</x:v>
      </x:c>
    </x:row>
    <x:row r="13">
      <x:c r="A13" s="101" t="n">
        <x:v>2007</x:v>
      </x:c>
      <x:c r="B13" s="98" t="n">
        <x:v>100</x:v>
      </x:c>
      <x:c r="C13" s="98" t="n">
        <x:v>100</x:v>
      </x:c>
      <x:c r="D13" s="98" t="n">
        <x:v>100</x:v>
      </x:c>
      <x:c r="E13" s="98" t="n">
        <x:v>0</x:v>
      </x:c>
      <x:c r="F13" s="147" t="str">
        <x:v>100 variante; fără barem asociat în folder</x:v>
      </x:c>
    </x:row>
    <x:row r="14">
      <x:c r="A14" s="101" t="n">
        <x:v>2010</x:v>
      </x:c>
      <x:c r="B14" s="98" t="n">
        <x:v>3</x:v>
      </x:c>
      <x:c r="C14" s="98" t="n">
        <x:v>3</x:v>
      </x:c>
      <x:c r="D14" s="98" t="n">
        <x:v>3</x:v>
      </x:c>
      <x:c r="E14" s="98" t="n">
        <x:v>3</x:v>
      </x:c>
      <x:c r="F14" s="147" t="str">
        <x:v>Subiectele sunt dublate MD/PDF</x:v>
      </x:c>
    </x:row>
    <x:row r="15">
      <x:c r="A15" s="101" t="n">
        <x:v>2011</x:v>
      </x:c>
      <x:c r="B15" s="98" t="n">
        <x:v>3</x:v>
      </x:c>
      <x:c r="C15" s="98" t="n">
        <x:v>3</x:v>
      </x:c>
      <x:c r="D15" s="98" t="n">
        <x:v>3</x:v>
      </x:c>
      <x:c r="E15" s="98" t="n">
        <x:v>3</x:v>
      </x:c>
      <x:c r="F15" s="147" t="str">
        <x:v>Subiectele sunt dublate MD/PDF</x:v>
      </x:c>
    </x:row>
    <x:row r="16">
      <x:c r="A16" s="101" t="n">
        <x:v>2012</x:v>
      </x:c>
      <x:c r="B16" s="98" t="n">
        <x:v>4</x:v>
      </x:c>
      <x:c r="C16" s="98" t="n">
        <x:v>4</x:v>
      </x:c>
      <x:c r="D16" s="98" t="n">
        <x:v>4</x:v>
      </x:c>
      <x:c r="E16" s="98" t="n">
        <x:v>4</x:v>
      </x:c>
      <x:c r="F16" s="147" t="str">
        <x:v>Subiectele sunt dublate MD/PDF</x:v>
      </x:c>
    </x:row>
    <x:row r="17">
      <x:c r="A17" s="101" t="n">
        <x:v>2013</x:v>
      </x:c>
      <x:c r="B17" s="98" t="n">
        <x:v>4</x:v>
      </x:c>
      <x:c r="C17" s="98" t="n">
        <x:v>4</x:v>
      </x:c>
      <x:c r="D17" s="98" t="n">
        <x:v>4</x:v>
      </x:c>
      <x:c r="E17" s="98" t="n">
        <x:v>4</x:v>
      </x:c>
      <x:c r="F17" s="147" t="str">
        <x:v>Subiectele sunt dublate MD/PDF</x:v>
      </x:c>
    </x:row>
    <x:row r="18">
      <x:c r="A18" s="101" t="n">
        <x:v>2014</x:v>
      </x:c>
      <x:c r="B18" s="98" t="n">
        <x:v>5</x:v>
      </x:c>
      <x:c r="C18" s="98" t="n">
        <x:v>5</x:v>
      </x:c>
      <x:c r="D18" s="98" t="n">
        <x:v>5</x:v>
      </x:c>
      <x:c r="E18" s="98" t="n">
        <x:v>5</x:v>
      </x:c>
      <x:c r="F18" s="147" t="str">
        <x:v>Subiectele sunt dublate MD/PDF</x:v>
      </x:c>
    </x:row>
    <x:row r="19">
      <x:c r="A19" s="101" t="n">
        <x:v>2015</x:v>
      </x:c>
      <x:c r="B19" s="98" t="n">
        <x:v>5</x:v>
      </x:c>
      <x:c r="C19" s="98" t="n">
        <x:v>5</x:v>
      </x:c>
      <x:c r="D19" s="98" t="n">
        <x:v>5</x:v>
      </x:c>
      <x:c r="E19" s="98" t="n">
        <x:v>5</x:v>
      </x:c>
      <x:c r="F19" s="147" t="str">
        <x:v>Subiectele sunt dublate MD/PDF</x:v>
      </x:c>
    </x:row>
    <x:row r="20">
      <x:c r="A20" s="101" t="n">
        <x:v>2016</x:v>
      </x:c>
      <x:c r="B20" s="98" t="n">
        <x:v>6</x:v>
      </x:c>
      <x:c r="C20" s="98" t="n">
        <x:v>6</x:v>
      </x:c>
      <x:c r="D20" s="98" t="n">
        <x:v>6</x:v>
      </x:c>
      <x:c r="E20" s="98" t="n">
        <x:v>6</x:v>
      </x:c>
      <x:c r="F20" s="147" t="str">
        <x:v>Subiectele sunt dublate MD/PDF</x:v>
      </x:c>
    </x:row>
    <x:row r="21">
      <x:c r="A21" s="101" t="n">
        <x:v>2017</x:v>
      </x:c>
      <x:c r="B21" s="98" t="n">
        <x:v>5</x:v>
      </x:c>
      <x:c r="C21" s="98" t="n">
        <x:v>5</x:v>
      </x:c>
      <x:c r="D21" s="98" t="n">
        <x:v>5</x:v>
      </x:c>
      <x:c r="E21" s="98" t="n">
        <x:v>5</x:v>
      </x:c>
      <x:c r="F21" s="147" t="str">
        <x:v>Subiectele sunt dublate MD/PDF</x:v>
      </x:c>
    </x:row>
    <x:row r="22">
      <x:c r="A22" s="101" t="n">
        <x:v>2018</x:v>
      </x:c>
      <x:c r="B22" s="98" t="n">
        <x:v>3</x:v>
      </x:c>
      <x:c r="C22" s="98" t="n">
        <x:v>3</x:v>
      </x:c>
      <x:c r="D22" s="98" t="n">
        <x:v>3</x:v>
      </x:c>
      <x:c r="E22" s="98" t="n">
        <x:v>3</x:v>
      </x:c>
      <x:c r="F22" s="147" t="str">
        <x:v>Subiectele sunt dublate MD/PDF</x:v>
      </x:c>
    </x:row>
    <x:row r="23">
      <x:c r="A23" s="101" t="n">
        <x:v>2019</x:v>
      </x:c>
      <x:c r="B23" s="98" t="n">
        <x:v>5</x:v>
      </x:c>
      <x:c r="C23" s="98" t="n">
        <x:v>5</x:v>
      </x:c>
      <x:c r="D23" s="98" t="n">
        <x:v>5</x:v>
      </x:c>
      <x:c r="E23" s="98" t="n">
        <x:v>5</x:v>
      </x:c>
      <x:c r="F23" s="147" t="str">
        <x:v>Subiectele sunt dublate MD/PDF</x:v>
      </x:c>
    </x:row>
    <x:row r="24">
      <x:c r="A24" s="101" t="n">
        <x:v>2020</x:v>
      </x:c>
      <x:c r="B24" s="98" t="n">
        <x:v>44</x:v>
      </x:c>
      <x:c r="C24" s="98" t="n">
        <x:v>44</x:v>
      </x:c>
      <x:c r="D24" s="98" t="n">
        <x:v>44</x:v>
      </x:c>
      <x:c r="E24" s="98" t="n">
        <x:v>44</x:v>
      </x:c>
      <x:c r="F24" s="147" t="str">
        <x:v>Subiectele sunt dublate MD/PDF</x:v>
      </x:c>
    </x:row>
    <x:row r="25">
      <x:c r="A25" s="149" t="str">
        <x:v>Regulă de includere: se filmează doar subiectele / testele / variantele individuale. Baremele și soluțiile agregate sunt păstrate ca referință, dar nu intră în trackerul de filmare.</x:v>
      </x:c>
      <x:c r="B25" s="130" t="n">
        <x:v>21</x:v>
      </x:c>
      <x:c r="C25" s="130" t="n">
        <x:v>21</x:v>
      </x:c>
      <x:c r="D25" s="130" t="n">
        <x:v>21</x:v>
      </x:c>
      <x:c r="E25" s="130" t="n">
        <x:v>21</x:v>
      </x:c>
      <x:c r="F25" s="150" t="str">
        <x:v>Subiectele sunt dublate MD/PDF</x:v>
      </x:c>
    </x:row>
    <x:row r="26">
      <x:c r="A26" s="101" t="n">
        <x:v>2022</x:v>
      </x:c>
      <x:c r="B26" s="98" t="n">
        <x:v>10</x:v>
      </x:c>
      <x:c r="C26" s="98" t="n">
        <x:v>10</x:v>
      </x:c>
      <x:c r="D26" s="98" t="n">
        <x:v>10</x:v>
      </x:c>
      <x:c r="E26" s="98" t="n">
        <x:v>10</x:v>
      </x:c>
      <x:c r="F26" s="147" t="str">
        <x:v>Subiectele sunt dublate MD/PDF</x:v>
      </x:c>
    </x:row>
    <x:row r="27">
      <x:c r="A27" s="101" t="n">
        <x:v>2023</x:v>
      </x:c>
      <x:c r="B27" s="98" t="n">
        <x:v>4</x:v>
      </x:c>
      <x:c r="C27" s="98" t="n">
        <x:v>4</x:v>
      </x:c>
      <x:c r="D27" s="98" t="n">
        <x:v>4</x:v>
      </x:c>
      <x:c r="E27" s="98" t="n">
        <x:v>4</x:v>
      </x:c>
      <x:c r="F27" s="147" t="str">
        <x:v>Subiectele sunt dublate MD/PDF</x:v>
      </x:c>
    </x:row>
    <x:row r="28">
      <x:c r="A28" s="101" t="n">
        <x:v>2024</x:v>
      </x:c>
      <x:c r="B28" s="98" t="n">
        <x:v>4</x:v>
      </x:c>
      <x:c r="C28" s="98" t="n">
        <x:v>4</x:v>
      </x:c>
      <x:c r="D28" s="98" t="n">
        <x:v>4</x:v>
      </x:c>
      <x:c r="E28" s="98" t="n">
        <x:v>4</x:v>
      </x:c>
      <x:c r="F28" s="147" t="str">
        <x:v>Subiectele sunt dublate MD/PDF</x:v>
      </x:c>
    </x:row>
    <x:row r="29">
      <x:c r="A29" s="101" t="n">
        <x:v>2025</x:v>
      </x:c>
      <x:c r="B29" s="98" t="n">
        <x:v>5</x:v>
      </x:c>
      <x:c r="C29" s="98" t="n">
        <x:v>5</x:v>
      </x:c>
      <x:c r="D29" s="98" t="n">
        <x:v>5</x:v>
      </x:c>
      <x:c r="E29" s="98" t="n">
        <x:v>5</x:v>
      </x:c>
      <x:c r="F29" s="147" t="str">
        <x:v>Subiectele sunt dublate MD/PDF</x:v>
      </x:c>
    </x:row>
    <x:row r="30">
      <x:c r="A30" s="107" t="n">
        <x:v>2026</x:v>
      </x:c>
      <x:c r="B30" s="109" t="n">
        <x:v>5</x:v>
      </x:c>
      <x:c r="C30" s="109" t="n">
        <x:v>5</x:v>
      </x:c>
      <x:c r="D30" s="109" t="n">
        <x:v>5</x:v>
      </x:c>
      <x:c r="E30" s="109" t="n">
        <x:v>5</x:v>
      </x:c>
      <x:c r="F30" s="148" t="str">
        <x:v>Subiectele sunt dublate MD/PDF</x:v>
      </x:c>
    </x:row>
  </x:sheetData>
  <x:mergeCells>
    <x:mergeCell ref="A2:F2"/>
    <x:mergeCell ref="A25:F25"/>
  </x:mergeCells>
  <x:pageMargins left="0.7" right="0.7" top="0.75" bottom="0.75" header="0.3" footer="0.3"/>
</x:worksheet>
</file>